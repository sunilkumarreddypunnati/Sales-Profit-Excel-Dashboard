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https://d.docs.live.net/0E2D936949B9A35A/Documents/"/>
    </mc:Choice>
  </mc:AlternateContent>
  <xr:revisionPtr revIDLastSave="4995" documentId="8_{0AFFD75C-9B6E-4DE5-868A-46A719D6AFBA}" xr6:coauthVersionLast="47" xr6:coauthVersionMax="47" xr10:uidLastSave="{8D21258B-4D0A-4363-AA17-02B2784C853A}"/>
  <bookViews>
    <workbookView xWindow="-110" yWindow="-110" windowWidth="19420" windowHeight="11500" activeTab="2" xr2:uid="{00000000-000D-0000-FFFF-FFFF00000000}"/>
  </bookViews>
  <sheets>
    <sheet name="Sheet1" sheetId="1" r:id="rId1"/>
    <sheet name="Pivots" sheetId="4" r:id="rId2"/>
    <sheet name="DashBoard 2" sheetId="17" r:id="rId3"/>
  </sheets>
  <definedNames>
    <definedName name="Slicer_Category">#N/A</definedName>
    <definedName name="Slicer_Months__Order_Date">#N/A</definedName>
    <definedName name="Slicer_Region">#N/A</definedName>
    <definedName name="Slicer_Ship_Mode">#N/A</definedName>
    <definedName name="Slicer_Sub_Category">#N/A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4" l="1"/>
  <c r="M3" i="4"/>
  <c r="K3" i="4"/>
  <c r="O3" i="4"/>
  <c r="J3" i="4"/>
  <c r="L3" i="4"/>
</calcChain>
</file>

<file path=xl/sharedStrings.xml><?xml version="1.0" encoding="utf-8"?>
<sst xmlns="http://schemas.openxmlformats.org/spreadsheetml/2006/main" count="13097" uniqueCount="3899">
  <si>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</si>
  <si>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</si>
  <si>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</si>
  <si>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</si>
  <si>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</si>
  <si>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</si>
  <si>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</si>
  <si>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</si>
  <si>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</si>
  <si>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</si>
  <si>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</si>
  <si>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</si>
  <si>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</si>
  <si>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</si>
  <si>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</si>
  <si>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</si>
  <si>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</si>
  <si>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</si>
  <si>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</si>
  <si>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</si>
  <si>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</si>
  <si>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</si>
  <si>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</si>
  <si>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</si>
  <si>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</si>
  <si>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</si>
  <si>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</si>
  <si>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</si>
  <si>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</si>
  <si>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</si>
  <si>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</si>
  <si>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</si>
  <si>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</si>
  <si>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</si>
  <si>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</si>
  <si>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</si>
  <si>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</si>
  <si>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</si>
  <si>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</si>
  <si>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</si>
  <si>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</si>
  <si>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</si>
  <si>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</si>
  <si>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</si>
  <si>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</si>
  <si>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</si>
  <si>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</si>
  <si>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</si>
  <si>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</si>
  <si>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</si>
  <si>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</si>
  <si>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</si>
  <si>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</si>
  <si>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</si>
  <si>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</si>
  <si>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</si>
  <si>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</si>
  <si>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</si>
  <si>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</si>
  <si>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</si>
  <si>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</si>
  <si>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</si>
  <si>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</si>
  <si>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</si>
  <si>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</si>
  <si>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</si>
  <si>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</si>
  <si>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</si>
  <si>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</si>
  <si>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</si>
  <si>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</si>
  <si>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</si>
  <si>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</si>
  <si>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</si>
  <si>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</si>
  <si>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</si>
  <si>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</si>
  <si>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</si>
  <si>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</si>
  <si>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</si>
  <si>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</si>
  <si>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</si>
  <si>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</si>
  <si>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</si>
  <si>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</si>
  <si>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</si>
  <si>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</si>
  <si>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</si>
  <si>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</si>
  <si>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</si>
  <si>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</si>
  <si>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</si>
  <si>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</si>
  <si>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</si>
  <si>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</si>
  <si>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</si>
  <si>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</si>
  <si>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</si>
  <si>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</si>
  <si>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</si>
  <si>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</si>
  <si>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</si>
  <si>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</si>
  <si>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</si>
  <si>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</si>
  <si>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</si>
  <si>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</si>
  <si>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</si>
  <si>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</si>
  <si>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</si>
  <si>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</si>
  <si>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</si>
  <si>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</si>
  <si>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</si>
  <si>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</si>
  <si>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</si>
  <si>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</si>
  <si>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</si>
  <si>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</si>
  <si>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</si>
  <si>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</si>
  <si>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</si>
  <si>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</si>
  <si>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</si>
  <si>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</si>
  <si>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</si>
  <si>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</si>
  <si>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</si>
  <si>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</si>
  <si>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</si>
  <si>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</si>
  <si>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</si>
  <si>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</si>
  <si>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</si>
  <si>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</si>
  <si>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</si>
  <si>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</si>
  <si>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</si>
  <si>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</si>
  <si>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</si>
  <si>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</si>
  <si>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</si>
  <si>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</si>
  <si>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</si>
  <si>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</si>
  <si>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</si>
  <si>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</si>
  <si>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</si>
  <si>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</si>
  <si>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</si>
  <si>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</si>
  <si>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</si>
  <si>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</si>
  <si>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</si>
  <si>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</si>
  <si>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</si>
  <si>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</si>
  <si>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</si>
  <si>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</si>
  <si>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</si>
  <si>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</si>
  <si>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</si>
  <si>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</si>
  <si>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</si>
  <si>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</si>
  <si>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</si>
  <si>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</si>
  <si>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</si>
  <si>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</si>
  <si>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</si>
  <si>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</si>
  <si>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</si>
  <si>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</si>
  <si>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</si>
  <si>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</si>
  <si>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</si>
  <si>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</si>
  <si>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</si>
  <si>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</si>
  <si>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</si>
  <si>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</si>
  <si>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</si>
  <si>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</si>
  <si>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</si>
  <si>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</si>
  <si>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</si>
  <si>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</si>
  <si>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</si>
  <si>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</si>
  <si>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</si>
  <si>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</si>
  <si>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</si>
  <si>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</si>
  <si>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</si>
  <si>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</si>
  <si>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</si>
  <si>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</si>
  <si>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</si>
  <si>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</si>
  <si>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</si>
  <si>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</si>
  <si>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</si>
  <si>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</si>
  <si>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</si>
  <si>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</si>
  <si>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</si>
  <si>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</si>
  <si>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</si>
  <si>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</si>
  <si>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</si>
  <si>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</si>
  <si>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</si>
  <si>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</si>
  <si>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</si>
  <si>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</si>
  <si>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</si>
  <si>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</si>
  <si>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</si>
  <si>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</si>
  <si>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</si>
  <si>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</si>
  <si>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</si>
  <si>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</si>
  <si>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</si>
  <si>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</si>
  <si>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</si>
  <si>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</si>
  <si>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</si>
  <si>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</si>
  <si>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</si>
  <si>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</si>
  <si>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</si>
  <si>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</si>
  <si>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</si>
  <si>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</si>
  <si>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</si>
  <si>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</si>
  <si>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</si>
  <si>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</si>
  <si>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</si>
  <si>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</si>
  <si>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</si>
  <si>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</si>
  <si>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</si>
  <si>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</si>
  <si>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</si>
  <si>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</si>
  <si>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</si>
  <si>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</si>
  <si>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</si>
  <si>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</si>
  <si>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</si>
  <si>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</si>
  <si>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</si>
  <si>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</si>
  <si>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</si>
  <si>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</si>
  <si>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</si>
  <si>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</si>
  <si>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</si>
  <si>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</si>
  <si>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</si>
  <si>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</si>
  <si>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</si>
  <si>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</si>
  <si>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</si>
  <si>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</si>
  <si>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</si>
  <si>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</si>
  <si>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</si>
  <si>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</si>
  <si>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</si>
  <si>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</si>
  <si>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</si>
  <si>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</si>
  <si>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</si>
  <si>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</si>
  <si>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</si>
  <si>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</si>
  <si>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</si>
  <si>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</si>
  <si>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</si>
  <si>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</si>
  <si>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</si>
  <si>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</si>
  <si>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</si>
  <si>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</si>
  <si>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</si>
  <si>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</si>
  <si>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</si>
  <si>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</si>
  <si>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</si>
  <si>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</si>
  <si>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</si>
  <si>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</si>
  <si>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</si>
  <si>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</si>
  <si>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</si>
  <si>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</si>
  <si>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</si>
  <si>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</si>
  <si>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</si>
  <si>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</si>
  <si>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</si>
  <si>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</si>
  <si>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</si>
  <si>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</si>
  <si>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</si>
  <si>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</si>
  <si>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</si>
  <si>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</si>
  <si>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</si>
  <si>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</si>
  <si>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</si>
  <si>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</si>
  <si>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</si>
  <si>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</si>
  <si>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</si>
  <si>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</si>
  <si>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</si>
  <si>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</si>
  <si>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</si>
  <si>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</si>
  <si>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</si>
  <si>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</si>
  <si>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</si>
  <si>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</si>
  <si>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</si>
  <si>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</si>
  <si>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</si>
  <si>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</si>
  <si>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</si>
  <si>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</si>
  <si>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</si>
  <si>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</si>
  <si>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</si>
  <si>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</si>
  <si>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</si>
  <si>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</si>
  <si>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</si>
  <si>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</si>
  <si>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</si>
  <si>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</si>
  <si>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</si>
  <si>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</si>
  <si>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</si>
  <si>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</si>
  <si>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</si>
  <si>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</si>
  <si>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</si>
  <si>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</si>
  <si>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</si>
  <si>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</si>
  <si>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</si>
  <si>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</si>
  <si>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</si>
  <si>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</si>
  <si>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</si>
  <si>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</si>
  <si>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</si>
  <si>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</si>
  <si>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</si>
  <si>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</si>
  <si>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</si>
  <si>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</si>
  <si>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</si>
  <si>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</si>
  <si>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</si>
  <si>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</si>
  <si>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</si>
  <si>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</si>
  <si>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</si>
  <si>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</si>
  <si>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</si>
  <si>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</si>
  <si>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</si>
  <si>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</si>
  <si>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</si>
  <si>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</si>
  <si>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</si>
  <si>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</si>
  <si>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</si>
  <si>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</si>
  <si>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</si>
  <si>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</si>
  <si>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</si>
  <si>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</si>
  <si>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</si>
  <si>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</si>
  <si>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</si>
  <si>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</si>
  <si>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</si>
  <si>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</si>
  <si>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</si>
  <si>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</si>
  <si>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</si>
  <si>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</si>
  <si>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</si>
  <si>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</si>
  <si>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</si>
  <si>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</si>
  <si>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</si>
  <si>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</si>
  <si>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</si>
  <si>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</si>
  <si>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</si>
  <si>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</si>
  <si>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</si>
  <si>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</si>
  <si>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</si>
  <si>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</si>
  <si>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</si>
  <si>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</si>
  <si>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</si>
  <si>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</si>
  <si>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</si>
  <si>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</si>
  <si>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</si>
  <si>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</si>
  <si>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</si>
  <si>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</si>
  <si>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</si>
  <si>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</si>
  <si>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</si>
  <si>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</si>
  <si>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</si>
  <si>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</si>
  <si>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</si>
  <si>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</si>
  <si>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</si>
  <si>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</si>
  <si>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</si>
  <si>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</si>
  <si>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</si>
  <si>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</si>
  <si>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</si>
  <si>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</si>
  <si>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</si>
  <si>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</si>
  <si>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</si>
  <si>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</si>
  <si>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</si>
  <si>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</si>
  <si>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</si>
  <si>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</si>
  <si>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</si>
  <si>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</si>
  <si>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</si>
  <si>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</si>
  <si>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</si>
  <si>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</si>
  <si>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</si>
  <si>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</si>
  <si>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</si>
  <si>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</si>
  <si>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</si>
  <si>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</si>
  <si>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</si>
  <si>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</si>
  <si>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</si>
  <si>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</si>
  <si>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</si>
  <si>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</si>
  <si>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</si>
  <si>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</si>
  <si>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</si>
  <si>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</si>
  <si>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</si>
  <si>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</si>
  <si>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</si>
  <si>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</si>
  <si>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</si>
  <si>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</si>
  <si>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</si>
  <si>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</si>
  <si>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</si>
  <si>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</si>
  <si>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</si>
  <si>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</si>
  <si>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</si>
  <si>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</si>
  <si>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</si>
  <si>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</si>
  <si>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</si>
  <si>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</si>
  <si>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</si>
  <si>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</si>
  <si>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</si>
  <si>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</si>
  <si>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</si>
  <si>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</si>
  <si>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</si>
  <si>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</si>
  <si>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</si>
  <si>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</si>
  <si>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</si>
  <si>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</si>
  <si>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</si>
  <si>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</si>
  <si>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</si>
  <si>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</si>
  <si>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</si>
  <si>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</si>
  <si>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</si>
  <si>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</si>
  <si>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</si>
  <si>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</si>
  <si>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</si>
  <si>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</si>
  <si>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</si>
  <si>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</si>
  <si>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</si>
  <si>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</si>
  <si>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</si>
  <si>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</si>
  <si>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</si>
  <si>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</si>
  <si>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</si>
  <si>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</si>
  <si>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</si>
  <si>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</si>
  <si>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</si>
  <si>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</si>
  <si>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</si>
  <si>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</si>
  <si>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</si>
  <si>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</si>
  <si>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</si>
  <si>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</si>
  <si>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</si>
  <si>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</si>
  <si>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</si>
  <si>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</si>
  <si>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</si>
  <si>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</si>
  <si>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</si>
  <si>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</si>
  <si>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</si>
  <si>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</si>
  <si>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</si>
  <si>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</si>
  <si>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</si>
  <si>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</si>
  <si>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</si>
  <si>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</si>
  <si>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</si>
  <si>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</si>
  <si>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</si>
  <si>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</si>
  <si>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</si>
  <si>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</si>
  <si>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</si>
  <si>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</si>
  <si>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</si>
  <si>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</si>
  <si>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</si>
  <si>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</si>
  <si>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</si>
  <si>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</si>
  <si>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</si>
  <si>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</si>
  <si>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</si>
  <si>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</si>
  <si>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</si>
  <si>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</si>
  <si>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</si>
  <si>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</si>
  <si>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</si>
  <si>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</si>
  <si>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</si>
  <si>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</si>
  <si>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</si>
  <si>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</si>
  <si>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</si>
  <si>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</si>
  <si>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</si>
  <si>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</si>
  <si>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</si>
  <si>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</si>
  <si>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</si>
  <si>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</si>
  <si>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</si>
  <si>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</si>
  <si>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</si>
  <si>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</si>
  <si>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</si>
  <si>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</si>
  <si>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</si>
  <si>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</si>
  <si>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</si>
  <si>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</si>
  <si>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</si>
  <si>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</si>
  <si>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</si>
  <si>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</si>
  <si>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</si>
  <si>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</si>
  <si>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</si>
  <si>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</si>
  <si>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</si>
  <si>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</si>
  <si>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</si>
  <si>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</si>
  <si>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</si>
  <si>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</si>
  <si>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</si>
  <si>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</si>
  <si>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</si>
  <si>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</si>
  <si>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</si>
  <si>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</si>
  <si>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</si>
  <si>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</si>
  <si>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</si>
  <si>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</si>
  <si>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</si>
  <si>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</si>
  <si>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</si>
  <si>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</si>
  <si>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</si>
  <si>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</si>
  <si>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</si>
  <si>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</si>
  <si>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</si>
  <si>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</si>
  <si>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</si>
  <si>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</si>
  <si>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</si>
  <si>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</si>
  <si>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</si>
  <si>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</si>
  <si>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</si>
  <si>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</si>
  <si>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</si>
  <si>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</si>
  <si>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</si>
  <si>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</si>
  <si>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</si>
  <si>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</si>
  <si>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</si>
  <si>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</si>
  <si>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</si>
  <si>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</si>
  <si>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</si>
  <si>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</si>
  <si>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</si>
  <si>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</si>
  <si>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</si>
  <si>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</si>
  <si>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</si>
  <si>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</si>
  <si>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</si>
  <si>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</si>
  <si>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</si>
  <si>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</si>
  <si>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</si>
  <si>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</si>
  <si>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</si>
  <si>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</si>
  <si>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</si>
  <si>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</si>
  <si>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</si>
  <si>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</si>
  <si>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</si>
  <si>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</si>
  <si>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</si>
  <si>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</si>
  <si>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</si>
  <si>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</si>
  <si>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</si>
  <si>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</si>
  <si>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</si>
  <si>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</si>
  <si>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</si>
  <si>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</si>
  <si>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</si>
  <si>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</si>
  <si>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</si>
  <si>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</si>
  <si>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</si>
  <si>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</si>
  <si>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</si>
  <si>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</si>
  <si>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</si>
  <si>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</si>
  <si>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</si>
  <si>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</si>
  <si>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</si>
  <si>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</si>
  <si>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</si>
  <si>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</si>
  <si>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</si>
  <si>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</si>
  <si>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</si>
  <si>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</si>
  <si>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</si>
  <si>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</si>
  <si>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</si>
  <si>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</si>
  <si>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</si>
  <si>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</si>
  <si>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</si>
  <si>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</si>
  <si>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</si>
  <si>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</si>
  <si>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</si>
  <si>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</si>
  <si>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</si>
  <si>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</si>
  <si>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</si>
  <si>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</si>
  <si>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</si>
  <si>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</si>
  <si>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</si>
  <si>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</si>
  <si>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</si>
  <si>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</si>
  <si>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</si>
  <si>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</si>
  <si>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</si>
  <si>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</si>
  <si>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</si>
  <si>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</si>
  <si>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</si>
  <si>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</si>
  <si>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</si>
  <si>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</si>
  <si>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</si>
  <si>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</si>
  <si>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</si>
  <si>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</si>
  <si>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</si>
  <si>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</si>
  <si>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</si>
  <si>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</si>
  <si>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</si>
  <si>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</si>
  <si>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</si>
  <si>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</si>
  <si>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</si>
  <si>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</si>
  <si>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</si>
  <si>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</si>
  <si>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</si>
  <si>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</si>
  <si>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</si>
  <si>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</si>
  <si>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</si>
  <si>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</si>
  <si>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</si>
  <si>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</si>
  <si>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</si>
  <si>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</si>
  <si>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</si>
  <si>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</si>
  <si>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</si>
  <si>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</si>
  <si>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</si>
  <si>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</si>
  <si>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</si>
  <si>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</si>
  <si>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</si>
  <si>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</si>
  <si>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</si>
  <si>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</si>
  <si>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</si>
  <si>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</si>
  <si>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</si>
  <si>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</si>
  <si>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</si>
  <si>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</si>
  <si>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</si>
  <si>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</si>
  <si>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</si>
  <si>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</si>
  <si>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</si>
  <si>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</si>
  <si>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</si>
  <si>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</si>
  <si>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</si>
  <si>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</si>
  <si>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</si>
  <si>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</si>
  <si>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</si>
  <si>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</si>
  <si>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</si>
  <si>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</si>
  <si>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</si>
  <si>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</si>
  <si>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</si>
  <si>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</si>
  <si>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</si>
  <si>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</si>
  <si>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</si>
  <si>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</si>
  <si>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</si>
  <si>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</si>
  <si>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</si>
  <si>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</si>
  <si>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</si>
  <si>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</si>
  <si>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</si>
  <si>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</si>
  <si>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</si>
  <si>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</si>
  <si>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</si>
  <si>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</si>
  <si>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</si>
  <si>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</si>
  <si>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</si>
  <si>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</si>
  <si>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</si>
  <si>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</si>
  <si>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</si>
  <si>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</si>
  <si>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</si>
  <si>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</si>
  <si>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</si>
  <si>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</si>
  <si>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</si>
  <si>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</si>
  <si>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</si>
  <si>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</si>
  <si>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</si>
  <si>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</si>
  <si>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</si>
  <si>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</si>
  <si>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</si>
  <si>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</si>
  <si>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</si>
  <si>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</si>
  <si>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</si>
  <si>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</si>
  <si>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</si>
  <si>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</si>
  <si>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</si>
  <si>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</si>
  <si>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</si>
  <si>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</si>
  <si>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</si>
  <si>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</si>
  <si>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</si>
  <si>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</si>
  <si>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</si>
  <si>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</si>
  <si>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</si>
  <si>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</si>
  <si>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</si>
  <si>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</si>
  <si>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</si>
  <si>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</si>
  <si>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</si>
  <si>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</si>
  <si>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</si>
  <si>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</si>
  <si>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</si>
  <si>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</si>
  <si>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</si>
  <si>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</si>
  <si>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</si>
  <si>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</si>
  <si>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</si>
  <si>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</si>
  <si>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</si>
  <si>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</si>
  <si>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</si>
  <si>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</si>
  <si>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</si>
  <si>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</si>
  <si>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</si>
  <si>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</si>
  <si>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</si>
  <si>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</si>
  <si>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</si>
  <si>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</si>
  <si>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</si>
  <si>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</si>
  <si>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</si>
  <si>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</si>
  <si>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</si>
  <si>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</si>
  <si>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</si>
  <si>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</si>
  <si>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</si>
  <si>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</si>
  <si>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</si>
  <si>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</si>
  <si>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</si>
  <si>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</si>
  <si>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</si>
  <si>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</si>
  <si>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</si>
  <si>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</si>
  <si>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</si>
  <si>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</si>
  <si>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</si>
  <si>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</si>
  <si>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</si>
  <si>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</si>
  <si>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</si>
  <si>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</si>
  <si>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</si>
  <si>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</si>
  <si>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</si>
  <si>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</si>
  <si>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</si>
  <si>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</si>
  <si>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</si>
  <si>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</si>
  <si>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</si>
  <si>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</si>
  <si>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</si>
  <si>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</si>
  <si>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</si>
  <si>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</si>
  <si>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</si>
  <si>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</si>
  <si>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</si>
  <si>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</si>
  <si>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</si>
  <si>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</si>
  <si>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</si>
  <si>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</si>
  <si>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</si>
  <si>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</si>
  <si>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</si>
  <si>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</si>
  <si>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</si>
  <si>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</si>
  <si>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</si>
  <si>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</si>
  <si>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</si>
  <si>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</si>
  <si>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</si>
  <si>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</si>
  <si>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</si>
  <si>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</si>
  <si>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</si>
  <si>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</si>
  <si>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</si>
  <si>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</si>
  <si>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</si>
  <si>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</si>
  <si>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</si>
  <si>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</si>
  <si>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</si>
  <si>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</si>
  <si>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</si>
  <si>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</si>
  <si>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</si>
  <si>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</si>
  <si>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</si>
  <si>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</si>
  <si>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</si>
  <si>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</si>
  <si>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</si>
  <si>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</si>
  <si>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</si>
  <si>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</si>
  <si>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</si>
  <si>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</si>
  <si>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</si>
  <si>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</si>
  <si>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</si>
  <si>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</si>
  <si>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</si>
  <si>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</si>
  <si>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</si>
  <si>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</si>
  <si>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</si>
  <si>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</si>
  <si>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</si>
  <si>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</si>
  <si>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</si>
  <si>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</si>
  <si>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</si>
  <si>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</si>
  <si>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</si>
  <si>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</si>
  <si>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</si>
  <si>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</si>
  <si>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</si>
  <si>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</si>
  <si>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</si>
  <si>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</si>
  <si>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</si>
  <si>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</si>
  <si>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</si>
  <si>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</si>
  <si>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</si>
  <si>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</si>
  <si>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</si>
  <si>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</si>
  <si>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</si>
  <si>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</si>
  <si>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</si>
  <si>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</si>
  <si>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</si>
  <si>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</si>
  <si>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</si>
  <si>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</si>
  <si>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</si>
  <si>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</si>
  <si>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</si>
  <si>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</si>
  <si>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</si>
  <si>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</si>
  <si>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</si>
  <si>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</si>
  <si>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</si>
  <si>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</si>
  <si>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</si>
  <si>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</si>
  <si>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</si>
  <si>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</si>
  <si>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</si>
  <si>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</si>
  <si>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</si>
  <si>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</si>
  <si>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</si>
  <si>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First Class</t>
  </si>
  <si>
    <t>Same Day</t>
  </si>
  <si>
    <t>Standard Class</t>
  </si>
  <si>
    <t>Second Class</t>
  </si>
  <si>
    <t>CUST-9743</t>
  </si>
  <si>
    <t>CUST-5255</t>
  </si>
  <si>
    <t>CUST-7743</t>
  </si>
  <si>
    <t>CUST-7363</t>
  </si>
  <si>
    <t>CUST-9850</t>
  </si>
  <si>
    <t>CUST-3470</t>
  </si>
  <si>
    <t>CUST-7529</t>
  </si>
  <si>
    <t>CUST-9665</t>
  </si>
  <si>
    <t>CUST-6495</t>
  </si>
  <si>
    <t>CUST-4384</t>
  </si>
  <si>
    <t>CUST-3296</t>
  </si>
  <si>
    <t>CUST-7313</t>
  </si>
  <si>
    <t>CUST-8276</t>
  </si>
  <si>
    <t>CUST-6453</t>
  </si>
  <si>
    <t>CUST-1037</t>
  </si>
  <si>
    <t>CUST-7231</t>
  </si>
  <si>
    <t>CUST-7154</t>
  </si>
  <si>
    <t>CUST-5677</t>
  </si>
  <si>
    <t>CUST-7984</t>
  </si>
  <si>
    <t>CUST-1682</t>
  </si>
  <si>
    <t>CUST-9022</t>
  </si>
  <si>
    <t>CUST-2994</t>
  </si>
  <si>
    <t>CUST-9215</t>
  </si>
  <si>
    <t>CUST-5991</t>
  </si>
  <si>
    <t>CUST-6077</t>
  </si>
  <si>
    <t>CUST-6587</t>
  </si>
  <si>
    <t>CUST-2970</t>
  </si>
  <si>
    <t>CUST-2537</t>
  </si>
  <si>
    <t>CUST-9424</t>
  </si>
  <si>
    <t>CUST-9474</t>
  </si>
  <si>
    <t>CUST-8450</t>
  </si>
  <si>
    <t>CUST-8912</t>
  </si>
  <si>
    <t>CUST-1927</t>
  </si>
  <si>
    <t>CUST-8903</t>
  </si>
  <si>
    <t>CUST-2466</t>
  </si>
  <si>
    <t>CUST-1245</t>
  </si>
  <si>
    <t>CUST-5356</t>
  </si>
  <si>
    <t>CUST-2511</t>
  </si>
  <si>
    <t>CUST-5921</t>
  </si>
  <si>
    <t>CUST-1640</t>
  </si>
  <si>
    <t>CUST-1349</t>
  </si>
  <si>
    <t>CUST-2318</t>
  </si>
  <si>
    <t>CUST-2254</t>
  </si>
  <si>
    <t>CUST-2528</t>
  </si>
  <si>
    <t>CUST-1282</t>
  </si>
  <si>
    <t>CUST-5979</t>
  </si>
  <si>
    <t>CUST-3986</t>
  </si>
  <si>
    <t>CUST-9514</t>
  </si>
  <si>
    <t>CUST-2455</t>
  </si>
  <si>
    <t>CUST-7504</t>
  </si>
  <si>
    <t>CUST-6286</t>
  </si>
  <si>
    <t>CUST-1268</t>
  </si>
  <si>
    <t>CUST-2870</t>
  </si>
  <si>
    <t>CUST-3083</t>
  </si>
  <si>
    <t>CUST-1236</t>
  </si>
  <si>
    <t>CUST-7711</t>
  </si>
  <si>
    <t>CUST-9249</t>
  </si>
  <si>
    <t>CUST-4562</t>
  </si>
  <si>
    <t>CUST-2169</t>
  </si>
  <si>
    <t>CUST-5832</t>
  </si>
  <si>
    <t>CUST-8202</t>
  </si>
  <si>
    <t>CUST-7760</t>
  </si>
  <si>
    <t>CUST-3864</t>
  </si>
  <si>
    <t>CUST-9327</t>
  </si>
  <si>
    <t>CUST-6675</t>
  </si>
  <si>
    <t>CUST-8442</t>
  </si>
  <si>
    <t>CUST-9442</t>
  </si>
  <si>
    <t>CUST-3201</t>
  </si>
  <si>
    <t>CUST-3659</t>
  </si>
  <si>
    <t>CUST-7660</t>
  </si>
  <si>
    <t>CUST-9375</t>
  </si>
  <si>
    <t>CUST-5672</t>
  </si>
  <si>
    <t>CUST-1420</t>
  </si>
  <si>
    <t>CUST-7951</t>
  </si>
  <si>
    <t>CUST-4490</t>
  </si>
  <si>
    <t>CUST-6313</t>
  </si>
  <si>
    <t>CUST-2424</t>
  </si>
  <si>
    <t>CUST-5692</t>
  </si>
  <si>
    <t>CUST-4590</t>
  </si>
  <si>
    <t>CUST-9351</t>
  </si>
  <si>
    <t>CUST-9390</t>
  </si>
  <si>
    <t>CUST-9460</t>
  </si>
  <si>
    <t>CUST-9591</t>
  </si>
  <si>
    <t>CUST-4553</t>
  </si>
  <si>
    <t>CUST-5163</t>
  </si>
  <si>
    <t>CUST-9898</t>
  </si>
  <si>
    <t>CUST-8510</t>
  </si>
  <si>
    <t>CUST-9482</t>
  </si>
  <si>
    <t>CUST-6737</t>
  </si>
  <si>
    <t>CUST-1565</t>
  </si>
  <si>
    <t>CUST-4955</t>
  </si>
  <si>
    <t>CUST-5791</t>
  </si>
  <si>
    <t>CUST-3382</t>
  </si>
  <si>
    <t>CUST-2227</t>
  </si>
  <si>
    <t>CUST-2557</t>
  </si>
  <si>
    <t>CUST-9213</t>
  </si>
  <si>
    <t>CUST-4946</t>
  </si>
  <si>
    <t>CUST-2401</t>
  </si>
  <si>
    <t>CUST-9791</t>
  </si>
  <si>
    <t>CUST-6212</t>
  </si>
  <si>
    <t>CUST-8984</t>
  </si>
  <si>
    <t>CUST-5874</t>
  </si>
  <si>
    <t>CUST-2535</t>
  </si>
  <si>
    <t>CUST-2155</t>
  </si>
  <si>
    <t>CUST-7808</t>
  </si>
  <si>
    <t>CUST-7368</t>
  </si>
  <si>
    <t>CUST-8376</t>
  </si>
  <si>
    <t>CUST-7545</t>
  </si>
  <si>
    <t>CUST-4401</t>
  </si>
  <si>
    <t>CUST-5453</t>
  </si>
  <si>
    <t>CUST-5389</t>
  </si>
  <si>
    <t>CUST-5437</t>
  </si>
  <si>
    <t>CUST-8732</t>
  </si>
  <si>
    <t>CUST-5040</t>
  </si>
  <si>
    <t>CUST-8112</t>
  </si>
  <si>
    <t>CUST-3399</t>
  </si>
  <si>
    <t>CUST-9901</t>
  </si>
  <si>
    <t>CUST-8617</t>
  </si>
  <si>
    <t>CUST-3906</t>
  </si>
  <si>
    <t>CUST-7306</t>
  </si>
  <si>
    <t>CUST-4782</t>
  </si>
  <si>
    <t>CUST-5441</t>
  </si>
  <si>
    <t>CUST-7498</t>
  </si>
  <si>
    <t>CUST-6209</t>
  </si>
  <si>
    <t>CUST-3812</t>
  </si>
  <si>
    <t>CUST-3287</t>
  </si>
  <si>
    <t>CUST-4632</t>
  </si>
  <si>
    <t>CUST-8775</t>
  </si>
  <si>
    <t>CUST-6170</t>
  </si>
  <si>
    <t>CUST-5290</t>
  </si>
  <si>
    <t>CUST-7871</t>
  </si>
  <si>
    <t>CUST-7192</t>
  </si>
  <si>
    <t>CUST-8466</t>
  </si>
  <si>
    <t>CUST-7029</t>
  </si>
  <si>
    <t>CUST-5166</t>
  </si>
  <si>
    <t>CUST-2365</t>
  </si>
  <si>
    <t>CUST-6449</t>
  </si>
  <si>
    <t>CUST-3501</t>
  </si>
  <si>
    <t>CUST-6317</t>
  </si>
  <si>
    <t>CUST-6601</t>
  </si>
  <si>
    <t>CUST-9937</t>
  </si>
  <si>
    <t>CUST-9295</t>
  </si>
  <si>
    <t>CUST-1239</t>
  </si>
  <si>
    <t>CUST-3766</t>
  </si>
  <si>
    <t>CUST-7550</t>
  </si>
  <si>
    <t>CUST-2004</t>
  </si>
  <si>
    <t>CUST-5280</t>
  </si>
  <si>
    <t>CUST-9339</t>
  </si>
  <si>
    <t>CUST-6193</t>
  </si>
  <si>
    <t>CUST-2148</t>
  </si>
  <si>
    <t>CUST-9534</t>
  </si>
  <si>
    <t>CUST-4169</t>
  </si>
  <si>
    <t>CUST-6419</t>
  </si>
  <si>
    <t>CUST-2407</t>
  </si>
  <si>
    <t>CUST-9924</t>
  </si>
  <si>
    <t>CUST-9343</t>
  </si>
  <si>
    <t>CUST-2842</t>
  </si>
  <si>
    <t>CUST-7381</t>
  </si>
  <si>
    <t>CUST-7842</t>
  </si>
  <si>
    <t>CUST-3649</t>
  </si>
  <si>
    <t>CUST-1567</t>
  </si>
  <si>
    <t>CUST-8423</t>
  </si>
  <si>
    <t>CUST-1006</t>
  </si>
  <si>
    <t>CUST-4136</t>
  </si>
  <si>
    <t>CUST-3464</t>
  </si>
  <si>
    <t>CUST-1316</t>
  </si>
  <si>
    <t>CUST-1979</t>
  </si>
  <si>
    <t>CUST-7993</t>
  </si>
  <si>
    <t>CUST-8436</t>
  </si>
  <si>
    <t>CUST-1457</t>
  </si>
  <si>
    <t>CUST-6213</t>
  </si>
  <si>
    <t>CUST-7749</t>
  </si>
  <si>
    <t>CUST-8459</t>
  </si>
  <si>
    <t>CUST-2973</t>
  </si>
  <si>
    <t>CUST-9281</t>
  </si>
  <si>
    <t>CUST-1795</t>
  </si>
  <si>
    <t>CUST-6097</t>
  </si>
  <si>
    <t>CUST-5789</t>
  </si>
  <si>
    <t>CUST-9656</t>
  </si>
  <si>
    <t>CUST-7880</t>
  </si>
  <si>
    <t>CUST-9527</t>
  </si>
  <si>
    <t>CUST-6797</t>
  </si>
  <si>
    <t>CUST-9882</t>
  </si>
  <si>
    <t>CUST-9242</t>
  </si>
  <si>
    <t>CUST-6909</t>
  </si>
  <si>
    <t>CUST-3789</t>
  </si>
  <si>
    <t>CUST-3519</t>
  </si>
  <si>
    <t>CUST-2497</t>
  </si>
  <si>
    <t>CUST-5207</t>
  </si>
  <si>
    <t>CUST-6554</t>
  </si>
  <si>
    <t>CUST-2428</t>
  </si>
  <si>
    <t>CUST-4389</t>
  </si>
  <si>
    <t>CUST-1528</t>
  </si>
  <si>
    <t>CUST-8648</t>
  </si>
  <si>
    <t>CUST-9949</t>
  </si>
  <si>
    <t>CUST-2687</t>
  </si>
  <si>
    <t>CUST-5529</t>
  </si>
  <si>
    <t>CUST-5730</t>
  </si>
  <si>
    <t>CUST-5057</t>
  </si>
  <si>
    <t>CUST-1552</t>
  </si>
  <si>
    <t>CUST-9451</t>
  </si>
  <si>
    <t>CUST-6384</t>
  </si>
  <si>
    <t>CUST-9774</t>
  </si>
  <si>
    <t>CUST-2598</t>
  </si>
  <si>
    <t>CUST-6988</t>
  </si>
  <si>
    <t>CUST-8251</t>
  </si>
  <si>
    <t>CUST-3142</t>
  </si>
  <si>
    <t>CUST-2856</t>
  </si>
  <si>
    <t>CUST-2680</t>
  </si>
  <si>
    <t>CUST-4802</t>
  </si>
  <si>
    <t>CUST-5626</t>
  </si>
  <si>
    <t>CUST-7352</t>
  </si>
  <si>
    <t>CUST-9847</t>
  </si>
  <si>
    <t>CUST-7755</t>
  </si>
  <si>
    <t>CUST-5558</t>
  </si>
  <si>
    <t>CUST-8113</t>
  </si>
  <si>
    <t>CUST-7581</t>
  </si>
  <si>
    <t>CUST-1679</t>
  </si>
  <si>
    <t>CUST-9696</t>
  </si>
  <si>
    <t>CUST-6218</t>
  </si>
  <si>
    <t>CUST-2304</t>
  </si>
  <si>
    <t>CUST-5619</t>
  </si>
  <si>
    <t>CUST-6833</t>
  </si>
  <si>
    <t>CUST-5423</t>
  </si>
  <si>
    <t>CUST-3532</t>
  </si>
  <si>
    <t>CUST-3152</t>
  </si>
  <si>
    <t>CUST-8022</t>
  </si>
  <si>
    <t>CUST-3233</t>
  </si>
  <si>
    <t>CUST-1156</t>
  </si>
  <si>
    <t>CUST-8568</t>
  </si>
  <si>
    <t>CUST-6743</t>
  </si>
  <si>
    <t>CUST-3358</t>
  </si>
  <si>
    <t>CUST-7133</t>
  </si>
  <si>
    <t>CUST-7475</t>
  </si>
  <si>
    <t>CUST-9920</t>
  </si>
  <si>
    <t>CUST-1720</t>
  </si>
  <si>
    <t>CUST-3612</t>
  </si>
  <si>
    <t>CUST-4220</t>
  </si>
  <si>
    <t>CUST-7109</t>
  </si>
  <si>
    <t>CUST-2084</t>
  </si>
  <si>
    <t>CUST-7167</t>
  </si>
  <si>
    <t>CUST-5490</t>
  </si>
  <si>
    <t>CUST-7112</t>
  </si>
  <si>
    <t>CUST-3214</t>
  </si>
  <si>
    <t>CUST-4111</t>
  </si>
  <si>
    <t>CUST-4713</t>
  </si>
  <si>
    <t>CUST-9581</t>
  </si>
  <si>
    <t>CUST-6279</t>
  </si>
  <si>
    <t>CUST-6404</t>
  </si>
  <si>
    <t>CUST-5670</t>
  </si>
  <si>
    <t>CUST-7319</t>
  </si>
  <si>
    <t>CUST-5747</t>
  </si>
  <si>
    <t>CUST-6551</t>
  </si>
  <si>
    <t>CUST-6683</t>
  </si>
  <si>
    <t>CUST-6445</t>
  </si>
  <si>
    <t>CUST-3837</t>
  </si>
  <si>
    <t>CUST-8111</t>
  </si>
  <si>
    <t>CUST-7690</t>
  </si>
  <si>
    <t>CUST-2797</t>
  </si>
  <si>
    <t>CUST-6748</t>
  </si>
  <si>
    <t>CUST-4948</t>
  </si>
  <si>
    <t>CUST-6214</t>
  </si>
  <si>
    <t>CUST-9909</t>
  </si>
  <si>
    <t>CUST-4362</t>
  </si>
  <si>
    <t>CUST-3025</t>
  </si>
  <si>
    <t>CUST-5497</t>
  </si>
  <si>
    <t>CUST-5495</t>
  </si>
  <si>
    <t>CUST-6200</t>
  </si>
  <si>
    <t>CUST-8190</t>
  </si>
  <si>
    <t>CUST-2471</t>
  </si>
  <si>
    <t>CUST-4087</t>
  </si>
  <si>
    <t>CUST-8736</t>
  </si>
  <si>
    <t>CUST-2952</t>
  </si>
  <si>
    <t>CUST-9204</t>
  </si>
  <si>
    <t>CUST-6324</t>
  </si>
  <si>
    <t>CUST-7137</t>
  </si>
  <si>
    <t>CUST-9788</t>
  </si>
  <si>
    <t>CUST-1672</t>
  </si>
  <si>
    <t>CUST-9102</t>
  </si>
  <si>
    <t>CUST-2610</t>
  </si>
  <si>
    <t>CUST-9179</t>
  </si>
  <si>
    <t>CUST-8453</t>
  </si>
  <si>
    <t>CUST-9237</t>
  </si>
  <si>
    <t>CUST-8355</t>
  </si>
  <si>
    <t>CUST-5343</t>
  </si>
  <si>
    <t>CUST-3564</t>
  </si>
  <si>
    <t>CUST-3959</t>
  </si>
  <si>
    <t>CUST-9955</t>
  </si>
  <si>
    <t>CUST-3937</t>
  </si>
  <si>
    <t>CUST-9419</t>
  </si>
  <si>
    <t>CUST-3537</t>
  </si>
  <si>
    <t>CUST-4838</t>
  </si>
  <si>
    <t>CUST-5744</t>
  </si>
  <si>
    <t>CUST-8900</t>
  </si>
  <si>
    <t>CUST-2738</t>
  </si>
  <si>
    <t>CUST-1652</t>
  </si>
  <si>
    <t>CUST-8351</t>
  </si>
  <si>
    <t>CUST-1356</t>
  </si>
  <si>
    <t>CUST-6546</t>
  </si>
  <si>
    <t>CUST-2032</t>
  </si>
  <si>
    <t>CUST-2814</t>
  </si>
  <si>
    <t>CUST-7102</t>
  </si>
  <si>
    <t>CUST-6336</t>
  </si>
  <si>
    <t>CUST-2928</t>
  </si>
  <si>
    <t>CUST-1362</t>
  </si>
  <si>
    <t>CUST-5724</t>
  </si>
  <si>
    <t>CUST-1954</t>
  </si>
  <si>
    <t>CUST-6927</t>
  </si>
  <si>
    <t>CUST-5665</t>
  </si>
  <si>
    <t>CUST-8495</t>
  </si>
  <si>
    <t>CUST-1873</t>
  </si>
  <si>
    <t>CUST-6852</t>
  </si>
  <si>
    <t>CUST-9807</t>
  </si>
  <si>
    <t>CUST-3173</t>
  </si>
  <si>
    <t>CUST-7466</t>
  </si>
  <si>
    <t>CUST-5165</t>
  </si>
  <si>
    <t>CUST-6809</t>
  </si>
  <si>
    <t>CUST-5704</t>
  </si>
  <si>
    <t>CUST-2624</t>
  </si>
  <si>
    <t>CUST-9678</t>
  </si>
  <si>
    <t>CUST-7535</t>
  </si>
  <si>
    <t>CUST-3597</t>
  </si>
  <si>
    <t>CUST-3893</t>
  </si>
  <si>
    <t>CUST-4277</t>
  </si>
  <si>
    <t>CUST-1754</t>
  </si>
  <si>
    <t>CUST-6556</t>
  </si>
  <si>
    <t>CUST-6229</t>
  </si>
  <si>
    <t>CUST-4327</t>
  </si>
  <si>
    <t>CUST-4258</t>
  </si>
  <si>
    <t>CUST-1461</t>
  </si>
  <si>
    <t>CUST-1126</t>
  </si>
  <si>
    <t>CUST-8856</t>
  </si>
  <si>
    <t>CUST-9341</t>
  </si>
  <si>
    <t>CUST-9951</t>
  </si>
  <si>
    <t>CUST-2344</t>
  </si>
  <si>
    <t>CUST-9984</t>
  </si>
  <si>
    <t>CUST-7243</t>
  </si>
  <si>
    <t>CUST-2529</t>
  </si>
  <si>
    <t>CUST-6427</t>
  </si>
  <si>
    <t>CUST-2229</t>
  </si>
  <si>
    <t>CUST-4525</t>
  </si>
  <si>
    <t>CUST-3678</t>
  </si>
  <si>
    <t>CUST-5512</t>
  </si>
  <si>
    <t>CUST-7224</t>
  </si>
  <si>
    <t>CUST-1078</t>
  </si>
  <si>
    <t>CUST-4916</t>
  </si>
  <si>
    <t>CUST-3341</t>
  </si>
  <si>
    <t>CUST-2375</t>
  </si>
  <si>
    <t>CUST-6056</t>
  </si>
  <si>
    <t>CUST-3563</t>
  </si>
  <si>
    <t>CUST-6400</t>
  </si>
  <si>
    <t>CUST-4426</t>
  </si>
  <si>
    <t>CUST-7187</t>
  </si>
  <si>
    <t>CUST-5067</t>
  </si>
  <si>
    <t>CUST-2198</t>
  </si>
  <si>
    <t>CUST-9997</t>
  </si>
  <si>
    <t>CUST-8547</t>
  </si>
  <si>
    <t>CUST-9938</t>
  </si>
  <si>
    <t>CUST-6974</t>
  </si>
  <si>
    <t>CUST-3223</t>
  </si>
  <si>
    <t>CUST-7489</t>
  </si>
  <si>
    <t>CUST-5466</t>
  </si>
  <si>
    <t>CUST-9624</t>
  </si>
  <si>
    <t>CUST-8416</t>
  </si>
  <si>
    <t>CUST-3005</t>
  </si>
  <si>
    <t>CUST-2039</t>
  </si>
  <si>
    <t>CUST-3192</t>
  </si>
  <si>
    <t>CUST-5723</t>
  </si>
  <si>
    <t>CUST-5021</t>
  </si>
  <si>
    <t>CUST-8100</t>
  </si>
  <si>
    <t>CUST-2629</t>
  </si>
  <si>
    <t>CUST-3708</t>
  </si>
  <si>
    <t>CUST-9458</t>
  </si>
  <si>
    <t>CUST-7974</t>
  </si>
  <si>
    <t>CUST-6070</t>
  </si>
  <si>
    <t>CUST-4549</t>
  </si>
  <si>
    <t>CUST-5794</t>
  </si>
  <si>
    <t>CUST-9506</t>
  </si>
  <si>
    <t>CUST-4523</t>
  </si>
  <si>
    <t>CUST-6947</t>
  </si>
  <si>
    <t>CUST-7020</t>
  </si>
  <si>
    <t>CUST-3981</t>
  </si>
  <si>
    <t>CUST-3400</t>
  </si>
  <si>
    <t>CUST-4423</t>
  </si>
  <si>
    <t>CUST-3978</t>
  </si>
  <si>
    <t>CUST-6401</t>
  </si>
  <si>
    <t>CUST-2034</t>
  </si>
  <si>
    <t>CUST-2342</t>
  </si>
  <si>
    <t>CUST-5578</t>
  </si>
  <si>
    <t>CUST-4402</t>
  </si>
  <si>
    <t>CUST-9542</t>
  </si>
  <si>
    <t>CUST-5358</t>
  </si>
  <si>
    <t>CUST-5631</t>
  </si>
  <si>
    <t>CUST-2705</t>
  </si>
  <si>
    <t>CUST-4958</t>
  </si>
  <si>
    <t>CUST-5164</t>
  </si>
  <si>
    <t>CUST-8116</t>
  </si>
  <si>
    <t>CUST-3759</t>
  </si>
  <si>
    <t>CUST-1221</t>
  </si>
  <si>
    <t>CUST-3371</t>
  </si>
  <si>
    <t>CUST-9702</t>
  </si>
  <si>
    <t>CUST-3156</t>
  </si>
  <si>
    <t>CUST-4297</t>
  </si>
  <si>
    <t>CUST-9330</t>
  </si>
  <si>
    <t>CUST-1180</t>
  </si>
  <si>
    <t>CUST-8484</t>
  </si>
  <si>
    <t>CUST-6242</t>
  </si>
  <si>
    <t>CUST-4081</t>
  </si>
  <si>
    <t>CUST-2681</t>
  </si>
  <si>
    <t>CUST-4246</t>
  </si>
  <si>
    <t>CUST-3726</t>
  </si>
  <si>
    <t>CUST-9824</t>
  </si>
  <si>
    <t>CUST-6373</t>
  </si>
  <si>
    <t>CUST-8738</t>
  </si>
  <si>
    <t>CUST-9816</t>
  </si>
  <si>
    <t>CUST-2981</t>
  </si>
  <si>
    <t>CUST-9918</t>
  </si>
  <si>
    <t>CUST-7682</t>
  </si>
  <si>
    <t>CUST-5256</t>
  </si>
  <si>
    <t>CUST-8061</t>
  </si>
  <si>
    <t>CUST-9425</t>
  </si>
  <si>
    <t>CUST-7309</t>
  </si>
  <si>
    <t>CUST-4831</t>
  </si>
  <si>
    <t>CUST-9956</t>
  </si>
  <si>
    <t>CUST-8746</t>
  </si>
  <si>
    <t>CUST-3256</t>
  </si>
  <si>
    <t>CUST-4011</t>
  </si>
  <si>
    <t>CUST-7991</t>
  </si>
  <si>
    <t>CUST-7713</t>
  </si>
  <si>
    <t>CUST-2966</t>
  </si>
  <si>
    <t>CUST-2821</t>
  </si>
  <si>
    <t>CUST-4428</t>
  </si>
  <si>
    <t>CUST-7982</t>
  </si>
  <si>
    <t>CUST-3373</t>
  </si>
  <si>
    <t>CUST-1615</t>
  </si>
  <si>
    <t>CUST-1619</t>
  </si>
  <si>
    <t>CUST-2967</t>
  </si>
  <si>
    <t>CUST-3573</t>
  </si>
  <si>
    <t>CUST-5694</t>
  </si>
  <si>
    <t>CUST-4874</t>
  </si>
  <si>
    <t>CUST-3001</t>
  </si>
  <si>
    <t>CUST-7004</t>
  </si>
  <si>
    <t>CUST-7882</t>
  </si>
  <si>
    <t>CUST-9636</t>
  </si>
  <si>
    <t>CUST-6753</t>
  </si>
  <si>
    <t>CUST-7662</t>
  </si>
  <si>
    <t>CUST-9776</t>
  </si>
  <si>
    <t>CUST-8422</t>
  </si>
  <si>
    <t>CUST-5817</t>
  </si>
  <si>
    <t>CUST-7543</t>
  </si>
  <si>
    <t>CUST-4000</t>
  </si>
  <si>
    <t>CUST-8263</t>
  </si>
  <si>
    <t>CUST-3459</t>
  </si>
  <si>
    <t>CUST-3848</t>
  </si>
  <si>
    <t>CUST-2538</t>
  </si>
  <si>
    <t>CUST-7849</t>
  </si>
  <si>
    <t>CUST-7013</t>
  </si>
  <si>
    <t>CUST-2837</t>
  </si>
  <si>
    <t>CUST-3835</t>
  </si>
  <si>
    <t>CUST-5054</t>
  </si>
  <si>
    <t>CUST-5022</t>
  </si>
  <si>
    <t>CUST-7091</t>
  </si>
  <si>
    <t>CUST-8828</t>
  </si>
  <si>
    <t>CUST-1429</t>
  </si>
  <si>
    <t>CUST-6571</t>
  </si>
  <si>
    <t>CUST-2174</t>
  </si>
  <si>
    <t>CUST-2114</t>
  </si>
  <si>
    <t>CUST-8500</t>
  </si>
  <si>
    <t>CUST-5180</t>
  </si>
  <si>
    <t>CUST-3846</t>
  </si>
  <si>
    <t>CUST-4685</t>
  </si>
  <si>
    <t>CUST-5505</t>
  </si>
  <si>
    <t>CUST-8060</t>
  </si>
  <si>
    <t>CUST-8770</t>
  </si>
  <si>
    <t>CUST-4619</t>
  </si>
  <si>
    <t>CUST-3295</t>
  </si>
  <si>
    <t>CUST-3426</t>
  </si>
  <si>
    <t>CUST-4463</t>
  </si>
  <si>
    <t>CUST-7805</t>
  </si>
  <si>
    <t>CUST-8936</t>
  </si>
  <si>
    <t>CUST-1403</t>
  </si>
  <si>
    <t>CUST-4006</t>
  </si>
  <si>
    <t>CUST-4382</t>
  </si>
  <si>
    <t>CUST-3700</t>
  </si>
  <si>
    <t>CUST-5145</t>
  </si>
  <si>
    <t>CUST-2123</t>
  </si>
  <si>
    <t>CUST-8728</t>
  </si>
  <si>
    <t>CUST-1768</t>
  </si>
  <si>
    <t>CUST-1271</t>
  </si>
  <si>
    <t>CUST-8993</t>
  </si>
  <si>
    <t>CUST-9100</t>
  </si>
  <si>
    <t>CUST-9397</t>
  </si>
  <si>
    <t>CUST-7221</t>
  </si>
  <si>
    <t>CUST-6415</t>
  </si>
  <si>
    <t>CUST-6537</t>
  </si>
  <si>
    <t>CUST-2414</t>
  </si>
  <si>
    <t>CUST-4971</t>
  </si>
  <si>
    <t>CUST-1931</t>
  </si>
  <si>
    <t>CUST-2635</t>
  </si>
  <si>
    <t>CUST-8443</t>
  </si>
  <si>
    <t>CUST-7771</t>
  </si>
  <si>
    <t>CUST-5743</t>
  </si>
  <si>
    <t>CUST-4040</t>
  </si>
  <si>
    <t>CUST-6192</t>
  </si>
  <si>
    <t>CUST-9014</t>
  </si>
  <si>
    <t>CUST-9201</t>
  </si>
  <si>
    <t>CUST-5264</t>
  </si>
  <si>
    <t>CUST-3132</t>
  </si>
  <si>
    <t>CUST-7259</t>
  </si>
  <si>
    <t>CUST-3518</t>
  </si>
  <si>
    <t>CUST-2289</t>
  </si>
  <si>
    <t>CUST-1120</t>
  </si>
  <si>
    <t>CUST-8051</t>
  </si>
  <si>
    <t>CUST-7436</t>
  </si>
  <si>
    <t>CUST-8114</t>
  </si>
  <si>
    <t>CUST-6604</t>
  </si>
  <si>
    <t>CUST-1807</t>
  </si>
  <si>
    <t>CUST-7965</t>
  </si>
  <si>
    <t>CUST-4535</t>
  </si>
  <si>
    <t>CUST-3684</t>
  </si>
  <si>
    <t>CUST-6756</t>
  </si>
  <si>
    <t>CUST-9400</t>
  </si>
  <si>
    <t>CUST-6654</t>
  </si>
  <si>
    <t>CUST-1402</t>
  </si>
  <si>
    <t>CUST-7175</t>
  </si>
  <si>
    <t>CUST-9588</t>
  </si>
  <si>
    <t>CUST-6847</t>
  </si>
  <si>
    <t>CUST-7768</t>
  </si>
  <si>
    <t>CUST-4392</t>
  </si>
  <si>
    <t>CUST-1314</t>
  </si>
  <si>
    <t>CUST-2173</t>
  </si>
  <si>
    <t>CUST-8529</t>
  </si>
  <si>
    <t>CUST-3477</t>
  </si>
  <si>
    <t>CUST-7433</t>
  </si>
  <si>
    <t>CUST-8925</t>
  </si>
  <si>
    <t>CUST-7312</t>
  </si>
  <si>
    <t>CUST-4216</t>
  </si>
  <si>
    <t>CUST-6875</t>
  </si>
  <si>
    <t>CUST-3123</t>
  </si>
  <si>
    <t>CUST-8910</t>
  </si>
  <si>
    <t>CUST-2728</t>
  </si>
  <si>
    <t>CUST-5082</t>
  </si>
  <si>
    <t>CUST-2122</t>
  </si>
  <si>
    <t>CUST-7254</t>
  </si>
  <si>
    <t>CUST-7292</t>
  </si>
  <si>
    <t>CUST-2266</t>
  </si>
  <si>
    <t>CUST-2138</t>
  </si>
  <si>
    <t>CUST-3196</t>
  </si>
  <si>
    <t>CUST-6680</t>
  </si>
  <si>
    <t>CUST-7873</t>
  </si>
  <si>
    <t>CUST-9312</t>
  </si>
  <si>
    <t>CUST-9965</t>
  </si>
  <si>
    <t>CUST-7590</t>
  </si>
  <si>
    <t>CUST-4444</t>
  </si>
  <si>
    <t>CUST-7753</t>
  </si>
  <si>
    <t>CUST-7370</t>
  </si>
  <si>
    <t>CUST-4344</t>
  </si>
  <si>
    <t>CUST-5643</t>
  </si>
  <si>
    <t>CUST-4038</t>
  </si>
  <si>
    <t>CUST-2292</t>
  </si>
  <si>
    <t>CUST-4859</t>
  </si>
  <si>
    <t>CUST-2017</t>
  </si>
  <si>
    <t>CUST-8094</t>
  </si>
  <si>
    <t>CUST-8035</t>
  </si>
  <si>
    <t>CUST-1700</t>
  </si>
  <si>
    <t>CUST-4194</t>
  </si>
  <si>
    <t>CUST-7111</t>
  </si>
  <si>
    <t>CUST-7819</t>
  </si>
  <si>
    <t>CUST-5337</t>
  </si>
  <si>
    <t>CUST-2207</t>
  </si>
  <si>
    <t>CUST-5030</t>
  </si>
  <si>
    <t>CUST-4410</t>
  </si>
  <si>
    <t>CUST-8327</t>
  </si>
  <si>
    <t>CUST-7399</t>
  </si>
  <si>
    <t>CUST-2051</t>
  </si>
  <si>
    <t>CUST-2801</t>
  </si>
  <si>
    <t>CUST-9510</t>
  </si>
  <si>
    <t>CUST-3793</t>
  </si>
  <si>
    <t>CUST-5980</t>
  </si>
  <si>
    <t>CUST-8090</t>
  </si>
  <si>
    <t>CUST-9145</t>
  </si>
  <si>
    <t>CUST-7872</t>
  </si>
  <si>
    <t>CUST-9607</t>
  </si>
  <si>
    <t>CUST-1526</t>
  </si>
  <si>
    <t>CUST-3465</t>
  </si>
  <si>
    <t>CUST-2221</t>
  </si>
  <si>
    <t>CUST-9734</t>
  </si>
  <si>
    <t>CUST-3124</t>
  </si>
  <si>
    <t>CUST-2186</t>
  </si>
  <si>
    <t>CUST-2177</t>
  </si>
  <si>
    <t>CUST-2746</t>
  </si>
  <si>
    <t>CUST-2864</t>
  </si>
  <si>
    <t>CUST-2230</t>
  </si>
  <si>
    <t>CUST-4120</t>
  </si>
  <si>
    <t>CUST-8405</t>
  </si>
  <si>
    <t>CUST-2516</t>
  </si>
  <si>
    <t>CUST-8348</t>
  </si>
  <si>
    <t>CUST-3845</t>
  </si>
  <si>
    <t>CUST-2725</t>
  </si>
  <si>
    <t>CUST-9658</t>
  </si>
  <si>
    <t>CUST-5219</t>
  </si>
  <si>
    <t>CUST-2575</t>
  </si>
  <si>
    <t>CUST-3920</t>
  </si>
  <si>
    <t>CUST-4853</t>
  </si>
  <si>
    <t>CUST-9441</t>
  </si>
  <si>
    <t>CUST-4800</t>
  </si>
  <si>
    <t>CUST-4024</t>
  </si>
  <si>
    <t>CUST-4162</t>
  </si>
  <si>
    <t>CUST-7248</t>
  </si>
  <si>
    <t>CUST-3276</t>
  </si>
  <si>
    <t>CUST-3055</t>
  </si>
  <si>
    <t>CUST-9065</t>
  </si>
  <si>
    <t>CUST-8487</t>
  </si>
  <si>
    <t>CUST-7526</t>
  </si>
  <si>
    <t>CUST-9614</t>
  </si>
  <si>
    <t>CUST-9194</t>
  </si>
  <si>
    <t>CUST-9248</t>
  </si>
  <si>
    <t>CUST-2855</t>
  </si>
  <si>
    <t>CUST-1660</t>
  </si>
  <si>
    <t>CUST-4962</t>
  </si>
  <si>
    <t>CUST-3351</t>
  </si>
  <si>
    <t>CUST-8243</t>
  </si>
  <si>
    <t>CUST-4436</t>
  </si>
  <si>
    <t>CUST-4605</t>
  </si>
  <si>
    <t>CUST-2512</t>
  </si>
  <si>
    <t>CUST-7017</t>
  </si>
  <si>
    <t>CUST-2515</t>
  </si>
  <si>
    <t>CUST-2152</t>
  </si>
  <si>
    <t>CUST-7536</t>
  </si>
  <si>
    <t>CUST-2071</t>
  </si>
  <si>
    <t>CUST-4672</t>
  </si>
  <si>
    <t>CUST-7878</t>
  </si>
  <si>
    <t>CUST-1278</t>
  </si>
  <si>
    <t>CUST-8682</t>
  </si>
  <si>
    <t>CUST-3365</t>
  </si>
  <si>
    <t>CUST-1416</t>
  </si>
  <si>
    <t>CUST-2454</t>
  </si>
  <si>
    <t>CUST-8990</t>
  </si>
  <si>
    <t>CUST-1923</t>
  </si>
  <si>
    <t>CUST-4872</t>
  </si>
  <si>
    <t>CUST-3514</t>
  </si>
  <si>
    <t>CUST-2764</t>
  </si>
  <si>
    <t>CUST-6489</t>
  </si>
  <si>
    <t>CUST-6609</t>
  </si>
  <si>
    <t>CUST-5806</t>
  </si>
  <si>
    <t>CUST-2678</t>
  </si>
  <si>
    <t>CUST-5443</t>
  </si>
  <si>
    <t>CUST-9423</t>
  </si>
  <si>
    <t>CUST-8329</t>
  </si>
  <si>
    <t>CUST-4061</t>
  </si>
  <si>
    <t>CUST-2685</t>
  </si>
  <si>
    <t>CUST-2327</t>
  </si>
  <si>
    <t>CUST-1955</t>
  </si>
  <si>
    <t>CUST-9195</t>
  </si>
  <si>
    <t>CUST-8212</t>
  </si>
  <si>
    <t>CUST-2259</t>
  </si>
  <si>
    <t>CUST-3330</t>
  </si>
  <si>
    <t>CUST-9026</t>
  </si>
  <si>
    <t>CUST-1183</t>
  </si>
  <si>
    <t>CUST-4969</t>
  </si>
  <si>
    <t>CUST-3443</t>
  </si>
  <si>
    <t>CUST-2617</t>
  </si>
  <si>
    <t>CUST-6983</t>
  </si>
  <si>
    <t>CUST-6305</t>
  </si>
  <si>
    <t>CUST-2109</t>
  </si>
  <si>
    <t>CUST-3825</t>
  </si>
  <si>
    <t>CUST-2312</t>
  </si>
  <si>
    <t>CUST-9826</t>
  </si>
  <si>
    <t>CUST-3337</t>
  </si>
  <si>
    <t>CUST-3406</t>
  </si>
  <si>
    <t>CUST-8294</t>
  </si>
  <si>
    <t>CUST-7546</t>
  </si>
  <si>
    <t>CUST-2720</t>
  </si>
  <si>
    <t>CUST-3050</t>
  </si>
  <si>
    <t>CUST-5448</t>
  </si>
  <si>
    <t>CUST-8312</t>
  </si>
  <si>
    <t>CUST-7978</t>
  </si>
  <si>
    <t>CUST-8585</t>
  </si>
  <si>
    <t>CUST-5566</t>
  </si>
  <si>
    <t>CUST-1694</t>
  </si>
  <si>
    <t>CUST-5561</t>
  </si>
  <si>
    <t>CUST-2088</t>
  </si>
  <si>
    <t>CUST-8097</t>
  </si>
  <si>
    <t>CUST-2613</t>
  </si>
  <si>
    <t>CUST-3998</t>
  </si>
  <si>
    <t>CUST-8027</t>
  </si>
  <si>
    <t>CUST-3185</t>
  </si>
  <si>
    <t>CUST-5407</t>
  </si>
  <si>
    <t>CUST-5591</t>
  </si>
  <si>
    <t>CUST-5915</t>
  </si>
  <si>
    <t>CUST-1896</t>
  </si>
  <si>
    <t>CUST-1630</t>
  </si>
  <si>
    <t>CUST-8432</t>
  </si>
  <si>
    <t>CUST-6539</t>
  </si>
  <si>
    <t>CUST-2576</t>
  </si>
  <si>
    <t>CUST-1669</t>
  </si>
  <si>
    <t>CUST-5349</t>
  </si>
  <si>
    <t>CUST-8769</t>
  </si>
  <si>
    <t>CUST-3338</t>
  </si>
  <si>
    <t>CUST-4262</t>
  </si>
  <si>
    <t>CUST-1681</t>
  </si>
  <si>
    <t>CUST-4961</t>
  </si>
  <si>
    <t>CUST-4970</t>
  </si>
  <si>
    <t>CUST-9368</t>
  </si>
  <si>
    <t>CUST-9407</t>
  </si>
  <si>
    <t>CUST-5432</t>
  </si>
  <si>
    <t>CUST-2745</t>
  </si>
  <si>
    <t>CUST-7578</t>
  </si>
  <si>
    <t>CUST-5285</t>
  </si>
  <si>
    <t>CUST-1353</t>
  </si>
  <si>
    <t>CUST-8131</t>
  </si>
  <si>
    <t>CUST-9151</t>
  </si>
  <si>
    <t>CUST-8739</t>
  </si>
  <si>
    <t>CUST-9761</t>
  </si>
  <si>
    <t>CUST-6206</t>
  </si>
  <si>
    <t>CUST-3390</t>
  </si>
  <si>
    <t>CUST-1404</t>
  </si>
  <si>
    <t>CUST-4282</t>
  </si>
  <si>
    <t>CUST-2465</t>
  </si>
  <si>
    <t>CUST-9845</t>
  </si>
  <si>
    <t>CUST-3786</t>
  </si>
  <si>
    <t>CUST-1410</t>
  </si>
  <si>
    <t>CUST-7799</t>
  </si>
  <si>
    <t>CUST-1005</t>
  </si>
  <si>
    <t>CUST-2222</t>
  </si>
  <si>
    <t>CUST-9349</t>
  </si>
  <si>
    <t>CUST-2469</t>
  </si>
  <si>
    <t>CUST-5029</t>
  </si>
  <si>
    <t>CUST-2552</t>
  </si>
  <si>
    <t>CUST-5316</t>
  </si>
  <si>
    <t>CUST-2452</t>
  </si>
  <si>
    <t>CUST-6779</t>
  </si>
  <si>
    <t>CUST-3236</t>
  </si>
  <si>
    <t>CUST-2394</t>
  </si>
  <si>
    <t>CUST-7846</t>
  </si>
  <si>
    <t>CUST-6732</t>
  </si>
  <si>
    <t>CUST-7573</t>
  </si>
  <si>
    <t>CUST-3496</t>
  </si>
  <si>
    <t>CUST-1970</t>
  </si>
  <si>
    <t>CUST-3640</t>
  </si>
  <si>
    <t>CUST-9405</t>
  </si>
  <si>
    <t>CUST-1045</t>
  </si>
  <si>
    <t>CUST-8195</t>
  </si>
  <si>
    <t>CUST-1274</t>
  </si>
  <si>
    <t>CUST-7482</t>
  </si>
  <si>
    <t>CUST-7657</t>
  </si>
  <si>
    <t>CUST-2376</t>
  </si>
  <si>
    <t>CUST-2948</t>
  </si>
  <si>
    <t>CUST-9015</t>
  </si>
  <si>
    <t>CUST-7814</t>
  </si>
  <si>
    <t>CUST-5288</t>
  </si>
  <si>
    <t>CUST-8545</t>
  </si>
  <si>
    <t>CUST-2290</t>
  </si>
  <si>
    <t>CUST-8438</t>
  </si>
  <si>
    <t>CUST-6190</t>
  </si>
  <si>
    <t>CUST-4174</t>
  </si>
  <si>
    <t>CUST-3205</t>
  </si>
  <si>
    <t>CUST-1555</t>
  </si>
  <si>
    <t>CUST-3350</t>
  </si>
  <si>
    <t>CUST-2284</t>
  </si>
  <si>
    <t>CUST-1717</t>
  </si>
  <si>
    <t>CUST-3368</t>
  </si>
  <si>
    <t>CUST-7810</t>
  </si>
  <si>
    <t>CUST-6913</t>
  </si>
  <si>
    <t>CUST-1509</t>
  </si>
  <si>
    <t>CUST-8937</t>
  </si>
  <si>
    <t>CUST-4918</t>
  </si>
  <si>
    <t>CUST-7016</t>
  </si>
  <si>
    <t>CUST-7665</t>
  </si>
  <si>
    <t>CUST-6371</t>
  </si>
  <si>
    <t>CUST-4415</t>
  </si>
  <si>
    <t>CUST-7287</t>
  </si>
  <si>
    <t>CUST-4592</t>
  </si>
  <si>
    <t>CUST-6992</t>
  </si>
  <si>
    <t>CUST-6273</t>
  </si>
  <si>
    <t>CUST-4777</t>
  </si>
  <si>
    <t>CUST-5622</t>
  </si>
  <si>
    <t>CUST-7707</t>
  </si>
  <si>
    <t>CUST-6690</t>
  </si>
  <si>
    <t>CUST-7620</t>
  </si>
  <si>
    <t>CUST-3976</t>
  </si>
  <si>
    <t>CUST-4740</t>
  </si>
  <si>
    <t>CUST-5177</t>
  </si>
  <si>
    <t>CUST-8350</t>
  </si>
  <si>
    <t>CUST-8208</t>
  </si>
  <si>
    <t>CUST-4665</t>
  </si>
  <si>
    <t>CUST-4012</t>
  </si>
  <si>
    <t>CUST-6370</t>
  </si>
  <si>
    <t>CUST-6421</t>
  </si>
  <si>
    <t>CUST-5976</t>
  </si>
  <si>
    <t>CUST-2954</t>
  </si>
  <si>
    <t>CUST-4998</t>
  </si>
  <si>
    <t>CUST-1385</t>
  </si>
  <si>
    <t>CUST-8322</t>
  </si>
  <si>
    <t>CUST-4085</t>
  </si>
  <si>
    <t>CUST-3645</t>
  </si>
  <si>
    <t>CUST-6514</t>
  </si>
  <si>
    <t>CUST-5044</t>
  </si>
  <si>
    <t>CUST-2762</t>
  </si>
  <si>
    <t>CUST-9377</t>
  </si>
  <si>
    <t>CUST-4259</t>
  </si>
  <si>
    <t>CUST-8785</t>
  </si>
  <si>
    <t>CUST-3975</t>
  </si>
  <si>
    <t>CUST-5834</t>
  </si>
  <si>
    <t>CUST-8158</t>
  </si>
  <si>
    <t>CUST-8256</t>
  </si>
  <si>
    <t>CUST-9146</t>
  </si>
  <si>
    <t>CUST-6481</t>
  </si>
  <si>
    <t>CUST-3623</t>
  </si>
  <si>
    <t>CUST-6462</t>
  </si>
  <si>
    <t>CUST-2917</t>
  </si>
  <si>
    <t>CUST-9902</t>
  </si>
  <si>
    <t>CUST-6529</t>
  </si>
  <si>
    <t>CUST-5306</t>
  </si>
  <si>
    <t>CUST-4390</t>
  </si>
  <si>
    <t>CUST-1497</t>
  </si>
  <si>
    <t>CUST-8163</t>
  </si>
  <si>
    <t>CUST-5370</t>
  </si>
  <si>
    <t>CUST-1738</t>
  </si>
  <si>
    <t>CUST-4692</t>
  </si>
  <si>
    <t>CUST-6096</t>
  </si>
  <si>
    <t>CUST-1521</t>
  </si>
  <si>
    <t>CUST-8335</t>
  </si>
  <si>
    <t>CUST-7156</t>
  </si>
  <si>
    <t>CUST-8635</t>
  </si>
  <si>
    <t>CUST-8441</t>
  </si>
  <si>
    <t>CUST-8198</t>
  </si>
  <si>
    <t>CUST-7886</t>
  </si>
  <si>
    <t>CUST-6997</t>
  </si>
  <si>
    <t>CUST-1414</t>
  </si>
  <si>
    <t>CUST-6774</t>
  </si>
  <si>
    <t>CUST-3768</t>
  </si>
  <si>
    <t>CUST-3672</t>
  </si>
  <si>
    <t>CUST-1881</t>
  </si>
  <si>
    <t>CUST-6826</t>
  </si>
  <si>
    <t>CUST-9221</t>
  </si>
  <si>
    <t>CUST-1525</t>
  </si>
  <si>
    <t>CUST-7164</t>
  </si>
  <si>
    <t>CUST-2296</t>
  </si>
  <si>
    <t>CUST-2356</t>
  </si>
  <si>
    <t>CUST-3731</t>
  </si>
  <si>
    <t>CUST-6069</t>
  </si>
  <si>
    <t>CUST-1677</t>
  </si>
  <si>
    <t>CUST-2700</t>
  </si>
  <si>
    <t>CUST-8894</t>
  </si>
  <si>
    <t>CUST-5557</t>
  </si>
  <si>
    <t>CUST-9210</t>
  </si>
  <si>
    <t>CUST-8169</t>
  </si>
  <si>
    <t>CUST-9953</t>
  </si>
  <si>
    <t>CUST-9097</t>
  </si>
  <si>
    <t>CUST-4951</t>
  </si>
  <si>
    <t>CUST-1981</t>
  </si>
  <si>
    <t>CUST-5248</t>
  </si>
  <si>
    <t>CUST-3850</t>
  </si>
  <si>
    <t>CUST-8368</t>
  </si>
  <si>
    <t>CUST-7328</t>
  </si>
  <si>
    <t>CUST-1612</t>
  </si>
  <si>
    <t>CUST-7905</t>
  </si>
  <si>
    <t>CUST-5524</t>
  </si>
  <si>
    <t>CUST-5759</t>
  </si>
  <si>
    <t>CUST-3160</t>
  </si>
  <si>
    <t>CUST-4302</t>
  </si>
  <si>
    <t>CUST-1609</t>
  </si>
  <si>
    <t>CUST-5895</t>
  </si>
  <si>
    <t>CUST-9950</t>
  </si>
  <si>
    <t>CUST-9246</t>
  </si>
  <si>
    <t>CUST-8953</t>
  </si>
  <si>
    <t>CUST-2035</t>
  </si>
  <si>
    <t>CUST-2573</t>
  </si>
  <si>
    <t>CUST-2250</t>
  </si>
  <si>
    <t>CUST-9342</t>
  </si>
  <si>
    <t>CUST-4902</t>
  </si>
  <si>
    <t>CUST-2925</t>
  </si>
  <si>
    <t>CUST-1118</t>
  </si>
  <si>
    <t>CUST-5484</t>
  </si>
  <si>
    <t>CUST-6157</t>
  </si>
  <si>
    <t>CUST-8270</t>
  </si>
  <si>
    <t>CUST-6533</t>
  </si>
  <si>
    <t>CUST-1021</t>
  </si>
  <si>
    <t>CUST-7128</t>
  </si>
  <si>
    <t>CUST-7070</t>
  </si>
  <si>
    <t>CUST-1173</t>
  </si>
  <si>
    <t>CUST-9314</t>
  </si>
  <si>
    <t>CUST-2809</t>
  </si>
  <si>
    <t>CUST-6339</t>
  </si>
  <si>
    <t>CUST-7324</t>
  </si>
  <si>
    <t>CUST-5023</t>
  </si>
  <si>
    <t>CUST-4495</t>
  </si>
  <si>
    <t>CUST-1454</t>
  </si>
  <si>
    <t>CUST-4054</t>
  </si>
  <si>
    <t>CUST-4764</t>
  </si>
  <si>
    <t>CUST-2899</t>
  </si>
  <si>
    <t>CUST-3868</t>
  </si>
  <si>
    <t>CUST-6237</t>
  </si>
  <si>
    <t>CUST-2830</t>
  </si>
  <si>
    <t>CUST-8501</t>
  </si>
  <si>
    <t>CUST-1620</t>
  </si>
  <si>
    <t>CUST-6659</t>
  </si>
  <si>
    <t>CUST-1413</t>
  </si>
  <si>
    <t>CUST-5486</t>
  </si>
  <si>
    <t>CUST-1256</t>
  </si>
  <si>
    <t>CUST-6045</t>
  </si>
  <si>
    <t>CUST-1074</t>
  </si>
  <si>
    <t>CUST-2581</t>
  </si>
  <si>
    <t>CUST-6765</t>
  </si>
  <si>
    <t>CUST-5605</t>
  </si>
  <si>
    <t>CUST-3633</t>
  </si>
  <si>
    <t>CUST-1218</t>
  </si>
  <si>
    <t>CUST-7212</t>
  </si>
  <si>
    <t>CUST-8266</t>
  </si>
  <si>
    <t>CUST-2189</t>
  </si>
  <si>
    <t>CUST-2742</t>
  </si>
  <si>
    <t>CUST-7523</t>
  </si>
  <si>
    <t>CUST-4131</t>
  </si>
  <si>
    <t>CUST-8834</t>
  </si>
  <si>
    <t>CUST-8625</t>
  </si>
  <si>
    <t>CUST-8474</t>
  </si>
  <si>
    <t>CUST-9096</t>
  </si>
  <si>
    <t>CUST-3809</t>
  </si>
  <si>
    <t>CUST-2305</t>
  </si>
  <si>
    <t>CUST-2310</t>
  </si>
  <si>
    <t>CUST-2434</t>
  </si>
  <si>
    <t>CUST-3988</t>
  </si>
  <si>
    <t>CUST-5533</t>
  </si>
  <si>
    <t>CUST-2255</t>
  </si>
  <si>
    <t>CUST-3012</t>
  </si>
  <si>
    <t>CUST-7145</t>
  </si>
  <si>
    <t>CUST-2333</t>
  </si>
  <si>
    <t>CUST-6332</t>
  </si>
  <si>
    <t>CUST-9220</t>
  </si>
  <si>
    <t>CUST-1370</t>
  </si>
  <si>
    <t>CUST-9301</t>
  </si>
  <si>
    <t>CUST-1794</t>
  </si>
  <si>
    <t>CUST-9047</t>
  </si>
  <si>
    <t>CUST-9083</t>
  </si>
  <si>
    <t>CUST-1811</t>
  </si>
  <si>
    <t>CUST-5517</t>
  </si>
  <si>
    <t>CUST-5584</t>
  </si>
  <si>
    <t>CUST-7098</t>
  </si>
  <si>
    <t>CUST-5966</t>
  </si>
  <si>
    <t>CUST-7136</t>
  </si>
  <si>
    <t>CUST-3190</t>
  </si>
  <si>
    <t>CUST-7898</t>
  </si>
  <si>
    <t>CUST-6676</t>
  </si>
  <si>
    <t>Customer 86</t>
  </si>
  <si>
    <t>Customer 167</t>
  </si>
  <si>
    <t>Customer 255</t>
  </si>
  <si>
    <t>Customer 286</t>
  </si>
  <si>
    <t>Customer 196</t>
  </si>
  <si>
    <t>Customer 97</t>
  </si>
  <si>
    <t>Customer 441</t>
  </si>
  <si>
    <t>Customer 159</t>
  </si>
  <si>
    <t>Customer 317</t>
  </si>
  <si>
    <t>Customer 420</t>
  </si>
  <si>
    <t>Customer 449</t>
  </si>
  <si>
    <t>Customer 190</t>
  </si>
  <si>
    <t>Customer 194</t>
  </si>
  <si>
    <t>Customer 224</t>
  </si>
  <si>
    <t>Customer 203</t>
  </si>
  <si>
    <t>Customer 84</t>
  </si>
  <si>
    <t>Customer 68</t>
  </si>
  <si>
    <t>Customer 353</t>
  </si>
  <si>
    <t>Customer 290</t>
  </si>
  <si>
    <t>Customer 125</t>
  </si>
  <si>
    <t>Customer 358</t>
  </si>
  <si>
    <t>Customer 323</t>
  </si>
  <si>
    <t>Customer 247</t>
  </si>
  <si>
    <t>Customer 272</t>
  </si>
  <si>
    <t>Customer 198</t>
  </si>
  <si>
    <t>Customer 306</t>
  </si>
  <si>
    <t>Customer 303</t>
  </si>
  <si>
    <t>Customer 389</t>
  </si>
  <si>
    <t>Customer 249</t>
  </si>
  <si>
    <t>Customer 447</t>
  </si>
  <si>
    <t>Customer 152</t>
  </si>
  <si>
    <t>Customer 154</t>
  </si>
  <si>
    <t>Customer 38</t>
  </si>
  <si>
    <t>Customer 366</t>
  </si>
  <si>
    <t>Customer 166</t>
  </si>
  <si>
    <t>Customer 482</t>
  </si>
  <si>
    <t>Customer 134</t>
  </si>
  <si>
    <t>Customer 481</t>
  </si>
  <si>
    <t>Customer 25</t>
  </si>
  <si>
    <t>Customer 261</t>
  </si>
  <si>
    <t>Customer 232</t>
  </si>
  <si>
    <t>Customer 165</t>
  </si>
  <si>
    <t>Customer 410</t>
  </si>
  <si>
    <t>Customer 98</t>
  </si>
  <si>
    <t>Customer 27</t>
  </si>
  <si>
    <t>Customer 23</t>
  </si>
  <si>
    <t>Customer 433</t>
  </si>
  <si>
    <t>Customer 381</t>
  </si>
  <si>
    <t>Customer 210</t>
  </si>
  <si>
    <t>Customer 285</t>
  </si>
  <si>
    <t>Customer 345</t>
  </si>
  <si>
    <t>Customer 89</t>
  </si>
  <si>
    <t>Customer 59</t>
  </si>
  <si>
    <t>Customer 328</t>
  </si>
  <si>
    <t>Customer 160</t>
  </si>
  <si>
    <t>Customer 240</t>
  </si>
  <si>
    <t>Customer 414</t>
  </si>
  <si>
    <t>Customer 318</t>
  </si>
  <si>
    <t>Customer 266</t>
  </si>
  <si>
    <t>Customer 243</t>
  </si>
  <si>
    <t>Customer 215</t>
  </si>
  <si>
    <t>Customer 54</t>
  </si>
  <si>
    <t>Customer 491</t>
  </si>
  <si>
    <t>Customer 229</t>
  </si>
  <si>
    <t>Customer 281</t>
  </si>
  <si>
    <t>Customer 15</t>
  </si>
  <si>
    <t>Customer 470</t>
  </si>
  <si>
    <t>Customer 92</t>
  </si>
  <si>
    <t>Customer 424</t>
  </si>
  <si>
    <t>Customer 469</t>
  </si>
  <si>
    <t>Customer 140</t>
  </si>
  <si>
    <t>Customer 206</t>
  </si>
  <si>
    <t>Customer 412</t>
  </si>
  <si>
    <t>Customer 4</t>
  </si>
  <si>
    <t>Customer 245</t>
  </si>
  <si>
    <t>Customer 440</t>
  </si>
  <si>
    <t>Customer 304</t>
  </si>
  <si>
    <t>Customer 292</t>
  </si>
  <si>
    <t>Customer 218</t>
  </si>
  <si>
    <t>Customer 319</t>
  </si>
  <si>
    <t>Customer 399</t>
  </si>
  <si>
    <t>Customer 473</t>
  </si>
  <si>
    <t>Customer 438</t>
  </si>
  <si>
    <t>Customer 58</t>
  </si>
  <si>
    <t>Customer 151</t>
  </si>
  <si>
    <t>Customer 406</t>
  </si>
  <si>
    <t>Customer 376</t>
  </si>
  <si>
    <t>Customer 171</t>
  </si>
  <si>
    <t>Customer 463</t>
  </si>
  <si>
    <t>Customer 385</t>
  </si>
  <si>
    <t>Customer 330</t>
  </si>
  <si>
    <t>Customer 96</t>
  </si>
  <si>
    <t>Customer 182</t>
  </si>
  <si>
    <t>Customer 153</t>
  </si>
  <si>
    <t>Customer 368</t>
  </si>
  <si>
    <t>Customer 350</t>
  </si>
  <si>
    <t>Customer 451</t>
  </si>
  <si>
    <t>Customer 124</t>
  </si>
  <si>
    <t>Customer 69</t>
  </si>
  <si>
    <t>Customer 334</t>
  </si>
  <si>
    <t>Customer 26</t>
  </si>
  <si>
    <t>Customer 30</t>
  </si>
  <si>
    <t>Customer 257</t>
  </si>
  <si>
    <t>Customer 295</t>
  </si>
  <si>
    <t>Customer 404</t>
  </si>
  <si>
    <t>Customer 300</t>
  </si>
  <si>
    <t>Customer 403</t>
  </si>
  <si>
    <t>Customer 79</t>
  </si>
  <si>
    <t>Customer 396</t>
  </si>
  <si>
    <t>Customer 309</t>
  </si>
  <si>
    <t>Customer 135</t>
  </si>
  <si>
    <t>Customer 374</t>
  </si>
  <si>
    <t>Customer 213</t>
  </si>
  <si>
    <t>Customer 375</t>
  </si>
  <si>
    <t>Customer 85</t>
  </si>
  <si>
    <t>Customer 60</t>
  </si>
  <si>
    <t>Customer 495</t>
  </si>
  <si>
    <t>Customer 348</t>
  </si>
  <si>
    <t>Customer 320</t>
  </si>
  <si>
    <t>Customer 407</t>
  </si>
  <si>
    <t>Customer 88</t>
  </si>
  <si>
    <t>Customer 263</t>
  </si>
  <si>
    <t>Customer 489</t>
  </si>
  <si>
    <t>Customer 439</t>
  </si>
  <si>
    <t>Customer 367</t>
  </si>
  <si>
    <t>Customer 453</t>
  </si>
  <si>
    <t>Customer 57</t>
  </si>
  <si>
    <t>Customer 219</t>
  </si>
  <si>
    <t>Customer 53</t>
  </si>
  <si>
    <t>Customer 331</t>
  </si>
  <si>
    <t>Customer 63</t>
  </si>
  <si>
    <t>Customer 148</t>
  </si>
  <si>
    <t>Customer 42</t>
  </si>
  <si>
    <t>Customer 10</t>
  </si>
  <si>
    <t>Customer 294</t>
  </si>
  <si>
    <t>Customer 355</t>
  </si>
  <si>
    <t>Customer 408</t>
  </si>
  <si>
    <t>Customer 388</t>
  </si>
  <si>
    <t>Customer 29</t>
  </si>
  <si>
    <t>Customer 397</t>
  </si>
  <si>
    <t>Customer 386</t>
  </si>
  <si>
    <t>Customer 32</t>
  </si>
  <si>
    <t>Customer 316</t>
  </si>
  <si>
    <t>Customer 192</t>
  </si>
  <si>
    <t>Customer 437</t>
  </si>
  <si>
    <t>Customer 178</t>
  </si>
  <si>
    <t>Customer 164</t>
  </si>
  <si>
    <t>Customer 113</t>
  </si>
  <si>
    <t>Customer 234</t>
  </si>
  <si>
    <t>Customer 94</t>
  </si>
  <si>
    <t>Customer 426</t>
  </si>
  <si>
    <t>Customer 188</t>
  </si>
  <si>
    <t>Customer 474</t>
  </si>
  <si>
    <t>Customer 230</t>
  </si>
  <si>
    <t>Customer 260</t>
  </si>
  <si>
    <t>Customer 172</t>
  </si>
  <si>
    <t>Customer 209</t>
  </si>
  <si>
    <t>Customer 492</t>
  </si>
  <si>
    <t>Customer 20</t>
  </si>
  <si>
    <t>Customer 72</t>
  </si>
  <si>
    <t>Customer 114</t>
  </si>
  <si>
    <t>Customer 340</t>
  </si>
  <si>
    <t>Customer 476</t>
  </si>
  <si>
    <t>Customer 432</t>
  </si>
  <si>
    <t>Customer 161</t>
  </si>
  <si>
    <t>Customer 108</t>
  </si>
  <si>
    <t>Customer 189</t>
  </si>
  <si>
    <t>Customer 496</t>
  </si>
  <si>
    <t>Customer 130</t>
  </si>
  <si>
    <t>Customer 122</t>
  </si>
  <si>
    <t>Customer 177</t>
  </si>
  <si>
    <t>Customer 443</t>
  </si>
  <si>
    <t>Customer 342</t>
  </si>
  <si>
    <t>Customer 387</t>
  </si>
  <si>
    <t>Customer 278</t>
  </si>
  <si>
    <t>Customer 43</t>
  </si>
  <si>
    <t>Customer 65</t>
  </si>
  <si>
    <t>Customer 181</t>
  </si>
  <si>
    <t>Customer 37</t>
  </si>
  <si>
    <t>Customer 176</t>
  </si>
  <si>
    <t>Customer 91</t>
  </si>
  <si>
    <t>Customer 282</t>
  </si>
  <si>
    <t>Customer 418</t>
  </si>
  <si>
    <t>Customer 200</t>
  </si>
  <si>
    <t>Customer 291</t>
  </si>
  <si>
    <t>Customer 347</t>
  </si>
  <si>
    <t>Customer 494</t>
  </si>
  <si>
    <t>Customer 16</t>
  </si>
  <si>
    <t>Customer 24</t>
  </si>
  <si>
    <t>Customer 47</t>
  </si>
  <si>
    <t>Customer 179</t>
  </si>
  <si>
    <t>Customer 333</t>
  </si>
  <si>
    <t>Customer 129</t>
  </si>
  <si>
    <t>Customer 52</t>
  </si>
  <si>
    <t>Customer 225</t>
  </si>
  <si>
    <t>Customer 329</t>
  </si>
  <si>
    <t>Customer 157</t>
  </si>
  <si>
    <t>Customer 497</t>
  </si>
  <si>
    <t>Customer 405</t>
  </si>
  <si>
    <t>Customer 360</t>
  </si>
  <si>
    <t>Customer 126</t>
  </si>
  <si>
    <t>Customer 372</t>
  </si>
  <si>
    <t>Customer 221</t>
  </si>
  <si>
    <t>Customer 100</t>
  </si>
  <si>
    <t>Customer 448</t>
  </si>
  <si>
    <t>Customer 357</t>
  </si>
  <si>
    <t>Customer 462</t>
  </si>
  <si>
    <t>Customer 419</t>
  </si>
  <si>
    <t>Customer 237</t>
  </si>
  <si>
    <t>Customer 394</t>
  </si>
  <si>
    <t>Customer 46</t>
  </si>
  <si>
    <t>Customer 442</t>
  </si>
  <si>
    <t>Customer 392</t>
  </si>
  <si>
    <t>Customer 336</t>
  </si>
  <si>
    <t>Customer 1</t>
  </si>
  <si>
    <t>Customer 485</t>
  </si>
  <si>
    <t>Customer 335</t>
  </si>
  <si>
    <t>Customer 170</t>
  </si>
  <si>
    <t>Customer 428</t>
  </si>
  <si>
    <t>Customer 115</t>
  </si>
  <si>
    <t>Customer 106</t>
  </si>
  <si>
    <t>Customer 95</t>
  </si>
  <si>
    <t>Customer 490</t>
  </si>
  <si>
    <t>Customer 341</t>
  </si>
  <si>
    <t>Customer 40</t>
  </si>
  <si>
    <t>Customer 274</t>
  </si>
  <si>
    <t>Customer 82</t>
  </si>
  <si>
    <t>Customer 344</t>
  </si>
  <si>
    <t>Customer 127</t>
  </si>
  <si>
    <t>Customer 13</t>
  </si>
  <si>
    <t>Customer 101</t>
  </si>
  <si>
    <t>Customer 144</t>
  </si>
  <si>
    <t>Customer 327</t>
  </si>
  <si>
    <t>Customer 35</t>
  </si>
  <si>
    <t>Customer 466</t>
  </si>
  <si>
    <t>Customer 14</t>
  </si>
  <si>
    <t>Customer 75</t>
  </si>
  <si>
    <t>Customer 183</t>
  </si>
  <si>
    <t>Customer 3</t>
  </si>
  <si>
    <t>Customer 141</t>
  </si>
  <si>
    <t>Customer 383</t>
  </si>
  <si>
    <t>Customer 158</t>
  </si>
  <si>
    <t>Customer 310</t>
  </si>
  <si>
    <t>Customer 302</t>
  </si>
  <si>
    <t>Customer 354</t>
  </si>
  <si>
    <t>Customer 112</t>
  </si>
  <si>
    <t>Customer 378</t>
  </si>
  <si>
    <t>Customer 18</t>
  </si>
  <si>
    <t>Customer 90</t>
  </si>
  <si>
    <t>Customer 351</t>
  </si>
  <si>
    <t>Customer 107</t>
  </si>
  <si>
    <t>Customer 5</t>
  </si>
  <si>
    <t>Customer 356</t>
  </si>
  <si>
    <t>Customer 21</t>
  </si>
  <si>
    <t>Customer 488</t>
  </si>
  <si>
    <t>Customer 55</t>
  </si>
  <si>
    <t>Customer 253</t>
  </si>
  <si>
    <t>Customer 222</t>
  </si>
  <si>
    <t>Customer 361</t>
  </si>
  <si>
    <t>Customer 455</t>
  </si>
  <si>
    <t>Customer 174</t>
  </si>
  <si>
    <t>Customer 322</t>
  </si>
  <si>
    <t>Customer 308</t>
  </si>
  <si>
    <t>Customer 2</t>
  </si>
  <si>
    <t>Customer 73</t>
  </si>
  <si>
    <t>Customer 267</t>
  </si>
  <si>
    <t>Customer 311</t>
  </si>
  <si>
    <t>Customer 143</t>
  </si>
  <si>
    <t>Customer 51</t>
  </si>
  <si>
    <t>Customer 422</t>
  </si>
  <si>
    <t>Customer 227</t>
  </si>
  <si>
    <t>Customer 458</t>
  </si>
  <si>
    <t>Customer 71</t>
  </si>
  <si>
    <t>Customer 117</t>
  </si>
  <si>
    <t>Customer 434</t>
  </si>
  <si>
    <t>Customer 276</t>
  </si>
  <si>
    <t>Customer 299</t>
  </si>
  <si>
    <t>Customer 150</t>
  </si>
  <si>
    <t>Customer 480</t>
  </si>
  <si>
    <t>Customer 28</t>
  </si>
  <si>
    <t>Customer 77</t>
  </si>
  <si>
    <t>Customer 427</t>
  </si>
  <si>
    <t>Customer 382</t>
  </si>
  <si>
    <t>Customer 199</t>
  </si>
  <si>
    <t>Customer 67</t>
  </si>
  <si>
    <t>Customer 377</t>
  </si>
  <si>
    <t>Customer 423</t>
  </si>
  <si>
    <t>Customer 83</t>
  </si>
  <si>
    <t>Customer 271</t>
  </si>
  <si>
    <t>Customer 445</t>
  </si>
  <si>
    <t>Customer 204</t>
  </si>
  <si>
    <t>Customer 307</t>
  </si>
  <si>
    <t>Customer 275</t>
  </si>
  <si>
    <t>Customer 401</t>
  </si>
  <si>
    <t>Customer 369</t>
  </si>
  <si>
    <t>Customer 486</t>
  </si>
  <si>
    <t>Customer 471</t>
  </si>
  <si>
    <t>Customer 390</t>
  </si>
  <si>
    <t>Customer 450</t>
  </si>
  <si>
    <t>Customer 22</t>
  </si>
  <si>
    <t>Customer 111</t>
  </si>
  <si>
    <t>Customer 205</t>
  </si>
  <si>
    <t>Customer 273</t>
  </si>
  <si>
    <t>Customer 36</t>
  </si>
  <si>
    <t>Customer 202</t>
  </si>
  <si>
    <t>Customer 175</t>
  </si>
  <si>
    <t>Customer 313</t>
  </si>
  <si>
    <t>Customer 146</t>
  </si>
  <si>
    <t>Customer 120</t>
  </si>
  <si>
    <t>Customer 123</t>
  </si>
  <si>
    <t>Customer 9</t>
  </si>
  <si>
    <t>Customer 251</t>
  </si>
  <si>
    <t>Customer 56</t>
  </si>
  <si>
    <t>Customer 293</t>
  </si>
  <si>
    <t>Customer 379</t>
  </si>
  <si>
    <t>Customer 436</t>
  </si>
  <si>
    <t>Customer 121</t>
  </si>
  <si>
    <t>Customer 371</t>
  </si>
  <si>
    <t>Customer 363</t>
  </si>
  <si>
    <t>Customer 479</t>
  </si>
  <si>
    <t>Customer 269</t>
  </si>
  <si>
    <t>Customer 459</t>
  </si>
  <si>
    <t>Customer 499</t>
  </si>
  <si>
    <t>Customer 314</t>
  </si>
  <si>
    <t>Customer 393</t>
  </si>
  <si>
    <t>Customer 193</t>
  </si>
  <si>
    <t>Customer 31</t>
  </si>
  <si>
    <t>Customer 277</t>
  </si>
  <si>
    <t>Customer 477</t>
  </si>
  <si>
    <t>Customer 220</t>
  </si>
  <si>
    <t>Customer 87</t>
  </si>
  <si>
    <t>Customer 421</t>
  </si>
  <si>
    <t>Customer 256</t>
  </si>
  <si>
    <t>Customer 265</t>
  </si>
  <si>
    <t>Customer 454</t>
  </si>
  <si>
    <t>Customer 472</t>
  </si>
  <si>
    <t>Customer 44</t>
  </si>
  <si>
    <t>Customer 186</t>
  </si>
  <si>
    <t>Customer 431</t>
  </si>
  <si>
    <t>Customer 76</t>
  </si>
  <si>
    <t>Customer 460</t>
  </si>
  <si>
    <t>Customer 8</t>
  </si>
  <si>
    <t>Customer 239</t>
  </si>
  <si>
    <t>Customer 116</t>
  </si>
  <si>
    <t>Customer 103</t>
  </si>
  <si>
    <t>Customer 464</t>
  </si>
  <si>
    <t>Customer 110</t>
  </si>
  <si>
    <t>Customer 370</t>
  </si>
  <si>
    <t>Customer 156</t>
  </si>
  <si>
    <t>Customer 475</t>
  </si>
  <si>
    <t>Customer 301</t>
  </si>
  <si>
    <t>Customer 162</t>
  </si>
  <si>
    <t>Customer 398</t>
  </si>
  <si>
    <t>Customer 216</t>
  </si>
  <si>
    <t>Customer 142</t>
  </si>
  <si>
    <t>Customer 312</t>
  </si>
  <si>
    <t>Customer 465</t>
  </si>
  <si>
    <t>Customer 80</t>
  </si>
  <si>
    <t>Customer 252</t>
  </si>
  <si>
    <t>Customer 395</t>
  </si>
  <si>
    <t>Customer 50</t>
  </si>
  <si>
    <t>Customer 380</t>
  </si>
  <si>
    <t>Customer 483</t>
  </si>
  <si>
    <t>Customer 105</t>
  </si>
  <si>
    <t>Customer 279</t>
  </si>
  <si>
    <t>Customer 315</t>
  </si>
  <si>
    <t>Customer 191</t>
  </si>
  <si>
    <t>Customer 259</t>
  </si>
  <si>
    <t>Customer 109</t>
  </si>
  <si>
    <t>Customer 415</t>
  </si>
  <si>
    <t>Customer 6</t>
  </si>
  <si>
    <t>Customer 416</t>
  </si>
  <si>
    <t>Customer 41</t>
  </si>
  <si>
    <t>Customer 296</t>
  </si>
  <si>
    <t>Customer 349</t>
  </si>
  <si>
    <t>Customer 99</t>
  </si>
  <si>
    <t>Customer 446</t>
  </si>
  <si>
    <t>Customer 7</t>
  </si>
  <si>
    <t>Customer 362</t>
  </si>
  <si>
    <t>Customer 402</t>
  </si>
  <si>
    <t>Customer 61</t>
  </si>
  <si>
    <t>Customer 254</t>
  </si>
  <si>
    <t>Customer 64</t>
  </si>
  <si>
    <t>Customer 246</t>
  </si>
  <si>
    <t>Customer 373</t>
  </si>
  <si>
    <t>Customer 262</t>
  </si>
  <si>
    <t>Customer 236</t>
  </si>
  <si>
    <t>Customer 284</t>
  </si>
  <si>
    <t>Customer 233</t>
  </si>
  <si>
    <t>Customer 456</t>
  </si>
  <si>
    <t>Customer 138</t>
  </si>
  <si>
    <t>Customer 298</t>
  </si>
  <si>
    <t>Customer 184</t>
  </si>
  <si>
    <t>Customer 297</t>
  </si>
  <si>
    <t>Customer 17</t>
  </si>
  <si>
    <t>Customer 118</t>
  </si>
  <si>
    <t>Customer 384</t>
  </si>
  <si>
    <t>Customer 185</t>
  </si>
  <si>
    <t>Customer 411</t>
  </si>
  <si>
    <t>Customer 139</t>
  </si>
  <si>
    <t>Customer 484</t>
  </si>
  <si>
    <t>Customer 457</t>
  </si>
  <si>
    <t>Customer 235</t>
  </si>
  <si>
    <t>Customer 289</t>
  </si>
  <si>
    <t>Customer 223</t>
  </si>
  <si>
    <t>Customer 231</t>
  </si>
  <si>
    <t>Customer 149</t>
  </si>
  <si>
    <t>Customer 104</t>
  </si>
  <si>
    <t>Customer 241</t>
  </si>
  <si>
    <t>Customer 287</t>
  </si>
  <si>
    <t>Customer 34</t>
  </si>
  <si>
    <t>Customer 119</t>
  </si>
  <si>
    <t>Customer 244</t>
  </si>
  <si>
    <t>Customer 136</t>
  </si>
  <si>
    <t>Customer 173</t>
  </si>
  <si>
    <t>Customer 128</t>
  </si>
  <si>
    <t>Customer 93</t>
  </si>
  <si>
    <t>Customer 498</t>
  </si>
  <si>
    <t>Customer 332</t>
  </si>
  <si>
    <t>Customer 208</t>
  </si>
  <si>
    <t>Customer 226</t>
  </si>
  <si>
    <t>Customer 430</t>
  </si>
  <si>
    <t>Customer 321</t>
  </si>
  <si>
    <t>Customer 365</t>
  </si>
  <si>
    <t>Customer 461</t>
  </si>
  <si>
    <t>Customer 337</t>
  </si>
  <si>
    <t>Customer 400</t>
  </si>
  <si>
    <t>Customer 242</t>
  </si>
  <si>
    <t>Customer 352</t>
  </si>
  <si>
    <t>Customer 145</t>
  </si>
  <si>
    <t>Customer 268</t>
  </si>
  <si>
    <t>Customer 195</t>
  </si>
  <si>
    <t>Customer 346</t>
  </si>
  <si>
    <t>Customer 280</t>
  </si>
  <si>
    <t>Customer 288</t>
  </si>
  <si>
    <t>Customer 409</t>
  </si>
  <si>
    <t>Customer 74</t>
  </si>
  <si>
    <t>Customer 132</t>
  </si>
  <si>
    <t>Corporate</t>
  </si>
  <si>
    <t>Home Office</t>
  </si>
  <si>
    <t>Consumer</t>
  </si>
  <si>
    <t>United States</t>
  </si>
  <si>
    <t>New York</t>
  </si>
  <si>
    <t>Phoenix</t>
  </si>
  <si>
    <t>Los Angeles</t>
  </si>
  <si>
    <t>Seattle</t>
  </si>
  <si>
    <t>Miami</t>
  </si>
  <si>
    <t>Dallas</t>
  </si>
  <si>
    <t>Denver</t>
  </si>
  <si>
    <t>Houston</t>
  </si>
  <si>
    <t>Chicago</t>
  </si>
  <si>
    <t>Central</t>
  </si>
  <si>
    <t>East</t>
  </si>
  <si>
    <t>South</t>
  </si>
  <si>
    <t>West</t>
  </si>
  <si>
    <t>PROD-9068</t>
  </si>
  <si>
    <t>PROD-4030</t>
  </si>
  <si>
    <t>PROD-3465</t>
  </si>
  <si>
    <t>PROD-3487</t>
  </si>
  <si>
    <t>PROD-8799</t>
  </si>
  <si>
    <t>PROD-4149</t>
  </si>
  <si>
    <t>PROD-7200</t>
  </si>
  <si>
    <t>PROD-4907</t>
  </si>
  <si>
    <t>PROD-5702</t>
  </si>
  <si>
    <t>PROD-8342</t>
  </si>
  <si>
    <t>PROD-2935</t>
  </si>
  <si>
    <t>PROD-5247</t>
  </si>
  <si>
    <t>PROD-2346</t>
  </si>
  <si>
    <t>PROD-9373</t>
  </si>
  <si>
    <t>PROD-2052</t>
  </si>
  <si>
    <t>PROD-8359</t>
  </si>
  <si>
    <t>PROD-4383</t>
  </si>
  <si>
    <t>PROD-7999</t>
  </si>
  <si>
    <t>PROD-2445</t>
  </si>
  <si>
    <t>PROD-8212</t>
  </si>
  <si>
    <t>PROD-8360</t>
  </si>
  <si>
    <t>PROD-3705</t>
  </si>
  <si>
    <t>PROD-5654</t>
  </si>
  <si>
    <t>PROD-6195</t>
  </si>
  <si>
    <t>PROD-1388</t>
  </si>
  <si>
    <t>PROD-5434</t>
  </si>
  <si>
    <t>PROD-2668</t>
  </si>
  <si>
    <t>PROD-3500</t>
  </si>
  <si>
    <t>PROD-8189</t>
  </si>
  <si>
    <t>PROD-6457</t>
  </si>
  <si>
    <t>PROD-5525</t>
  </si>
  <si>
    <t>PROD-6201</t>
  </si>
  <si>
    <t>PROD-6177</t>
  </si>
  <si>
    <t>PROD-2274</t>
  </si>
  <si>
    <t>PROD-2996</t>
  </si>
  <si>
    <t>PROD-3559</t>
  </si>
  <si>
    <t>PROD-1023</t>
  </si>
  <si>
    <t>PROD-2242</t>
  </si>
  <si>
    <t>PROD-6967</t>
  </si>
  <si>
    <t>PROD-3724</t>
  </si>
  <si>
    <t>PROD-8961</t>
  </si>
  <si>
    <t>PROD-9468</t>
  </si>
  <si>
    <t>PROD-8268</t>
  </si>
  <si>
    <t>PROD-8568</t>
  </si>
  <si>
    <t>PROD-4586</t>
  </si>
  <si>
    <t>PROD-2511</t>
  </si>
  <si>
    <t>PROD-7988</t>
  </si>
  <si>
    <t>PROD-9956</t>
  </si>
  <si>
    <t>PROD-9330</t>
  </si>
  <si>
    <t>PROD-4652</t>
  </si>
  <si>
    <t>PROD-5460</t>
  </si>
  <si>
    <t>PROD-3757</t>
  </si>
  <si>
    <t>PROD-2509</t>
  </si>
  <si>
    <t>PROD-8274</t>
  </si>
  <si>
    <t>PROD-3286</t>
  </si>
  <si>
    <t>PROD-4580</t>
  </si>
  <si>
    <t>PROD-8474</t>
  </si>
  <si>
    <t>PROD-9927</t>
  </si>
  <si>
    <t>PROD-2131</t>
  </si>
  <si>
    <t>PROD-3505</t>
  </si>
  <si>
    <t>PROD-4280</t>
  </si>
  <si>
    <t>PROD-1912</t>
  </si>
  <si>
    <t>PROD-9307</t>
  </si>
  <si>
    <t>PROD-2169</t>
  </si>
  <si>
    <t>PROD-6383</t>
  </si>
  <si>
    <t>PROD-2948</t>
  </si>
  <si>
    <t>PROD-1954</t>
  </si>
  <si>
    <t>PROD-9376</t>
  </si>
  <si>
    <t>PROD-7924</t>
  </si>
  <si>
    <t>PROD-9020</t>
  </si>
  <si>
    <t>PROD-7159</t>
  </si>
  <si>
    <t>PROD-9821</t>
  </si>
  <si>
    <t>PROD-1075</t>
  </si>
  <si>
    <t>PROD-1630</t>
  </si>
  <si>
    <t>PROD-7184</t>
  </si>
  <si>
    <t>PROD-1662</t>
  </si>
  <si>
    <t>PROD-6431</t>
  </si>
  <si>
    <t>PROD-9302</t>
  </si>
  <si>
    <t>PROD-6042</t>
  </si>
  <si>
    <t>PROD-5264</t>
  </si>
  <si>
    <t>PROD-1851</t>
  </si>
  <si>
    <t>PROD-5420</t>
  </si>
  <si>
    <t>PROD-9553</t>
  </si>
  <si>
    <t>PROD-2723</t>
  </si>
  <si>
    <t>PROD-4139</t>
  </si>
  <si>
    <t>PROD-7910</t>
  </si>
  <si>
    <t>PROD-9099</t>
  </si>
  <si>
    <t>PROD-6690</t>
  </si>
  <si>
    <t>PROD-6016</t>
  </si>
  <si>
    <t>PROD-8019</t>
  </si>
  <si>
    <t>PROD-6486</t>
  </si>
  <si>
    <t>PROD-8537</t>
  </si>
  <si>
    <t>PROD-4343</t>
  </si>
  <si>
    <t>PROD-6194</t>
  </si>
  <si>
    <t>PROD-8293</t>
  </si>
  <si>
    <t>PROD-5336</t>
  </si>
  <si>
    <t>PROD-3190</t>
  </si>
  <si>
    <t>PROD-4680</t>
  </si>
  <si>
    <t>PROD-2838</t>
  </si>
  <si>
    <t>PROD-3733</t>
  </si>
  <si>
    <t>PROD-6460</t>
  </si>
  <si>
    <t>PROD-1496</t>
  </si>
  <si>
    <t>PROD-1493</t>
  </si>
  <si>
    <t>PROD-4002</t>
  </si>
  <si>
    <t>PROD-2312</t>
  </si>
  <si>
    <t>PROD-6465</t>
  </si>
  <si>
    <t>PROD-4773</t>
  </si>
  <si>
    <t>PROD-1083</t>
  </si>
  <si>
    <t>PROD-6481</t>
  </si>
  <si>
    <t>PROD-4091</t>
  </si>
  <si>
    <t>PROD-4311</t>
  </si>
  <si>
    <t>PROD-9375</t>
  </si>
  <si>
    <t>PROD-3951</t>
  </si>
  <si>
    <t>PROD-8482</t>
  </si>
  <si>
    <t>PROD-6284</t>
  </si>
  <si>
    <t>PROD-4666</t>
  </si>
  <si>
    <t>PROD-9807</t>
  </si>
  <si>
    <t>PROD-9285</t>
  </si>
  <si>
    <t>PROD-3019</t>
  </si>
  <si>
    <t>PROD-2997</t>
  </si>
  <si>
    <t>PROD-7349</t>
  </si>
  <si>
    <t>PROD-2525</t>
  </si>
  <si>
    <t>PROD-6124</t>
  </si>
  <si>
    <t>PROD-3476</t>
  </si>
  <si>
    <t>PROD-3155</t>
  </si>
  <si>
    <t>PROD-8743</t>
  </si>
  <si>
    <t>PROD-3390</t>
  </si>
  <si>
    <t>PROD-1592</t>
  </si>
  <si>
    <t>PROD-9485</t>
  </si>
  <si>
    <t>PROD-7903</t>
  </si>
  <si>
    <t>PROD-6873</t>
  </si>
  <si>
    <t>PROD-4169</t>
  </si>
  <si>
    <t>PROD-7358</t>
  </si>
  <si>
    <t>PROD-6654</t>
  </si>
  <si>
    <t>PROD-9968</t>
  </si>
  <si>
    <t>PROD-8945</t>
  </si>
  <si>
    <t>PROD-6596</t>
  </si>
  <si>
    <t>PROD-3906</t>
  </si>
  <si>
    <t>PROD-5947</t>
  </si>
  <si>
    <t>PROD-1892</t>
  </si>
  <si>
    <t>PROD-2866</t>
  </si>
  <si>
    <t>PROD-1206</t>
  </si>
  <si>
    <t>PROD-4626</t>
  </si>
  <si>
    <t>PROD-7183</t>
  </si>
  <si>
    <t>PROD-3365</t>
  </si>
  <si>
    <t>PROD-5089</t>
  </si>
  <si>
    <t>PROD-2419</t>
  </si>
  <si>
    <t>PROD-7104</t>
  </si>
  <si>
    <t>PROD-4529</t>
  </si>
  <si>
    <t>PROD-4219</t>
  </si>
  <si>
    <t>PROD-2474</t>
  </si>
  <si>
    <t>PROD-9982</t>
  </si>
  <si>
    <t>PROD-7077</t>
  </si>
  <si>
    <t>PROD-4748</t>
  </si>
  <si>
    <t>PROD-9042</t>
  </si>
  <si>
    <t>PROD-2847</t>
  </si>
  <si>
    <t>PROD-4404</t>
  </si>
  <si>
    <t>PROD-9172</t>
  </si>
  <si>
    <t>PROD-6451</t>
  </si>
  <si>
    <t>PROD-7812</t>
  </si>
  <si>
    <t>PROD-1618</t>
  </si>
  <si>
    <t>PROD-1106</t>
  </si>
  <si>
    <t>PROD-1184</t>
  </si>
  <si>
    <t>PROD-7320</t>
  </si>
  <si>
    <t>PROD-3053</t>
  </si>
  <si>
    <t>PROD-5235</t>
  </si>
  <si>
    <t>PROD-3021</t>
  </si>
  <si>
    <t>PROD-3856</t>
  </si>
  <si>
    <t>PROD-5085</t>
  </si>
  <si>
    <t>PROD-7366</t>
  </si>
  <si>
    <t>PROD-3812</t>
  </si>
  <si>
    <t>PROD-5283</t>
  </si>
  <si>
    <t>PROD-3250</t>
  </si>
  <si>
    <t>PROD-7793</t>
  </si>
  <si>
    <t>PROD-6446</t>
  </si>
  <si>
    <t>PROD-5272</t>
  </si>
  <si>
    <t>PROD-2721</t>
  </si>
  <si>
    <t>PROD-8056</t>
  </si>
  <si>
    <t>PROD-6307</t>
  </si>
  <si>
    <t>PROD-3091</t>
  </si>
  <si>
    <t>PROD-8066</t>
  </si>
  <si>
    <t>PROD-3118</t>
  </si>
  <si>
    <t>PROD-9629</t>
  </si>
  <si>
    <t>PROD-7509</t>
  </si>
  <si>
    <t>PROD-7776</t>
  </si>
  <si>
    <t>PROD-1328</t>
  </si>
  <si>
    <t>PROD-9926</t>
  </si>
  <si>
    <t>PROD-3549</t>
  </si>
  <si>
    <t>PROD-4562</t>
  </si>
  <si>
    <t>PROD-8627</t>
  </si>
  <si>
    <t>PROD-1004</t>
  </si>
  <si>
    <t>PROD-9010</t>
  </si>
  <si>
    <t>PROD-4124</t>
  </si>
  <si>
    <t>PROD-5405</t>
  </si>
  <si>
    <t>PROD-4166</t>
  </si>
  <si>
    <t>PROD-9986</t>
  </si>
  <si>
    <t>PROD-2433</t>
  </si>
  <si>
    <t>PROD-8543</t>
  </si>
  <si>
    <t>PROD-5242</t>
  </si>
  <si>
    <t>PROD-4499</t>
  </si>
  <si>
    <t>PROD-3847</t>
  </si>
  <si>
    <t>PROD-8581</t>
  </si>
  <si>
    <t>PROD-2024</t>
  </si>
  <si>
    <t>PROD-4244</t>
  </si>
  <si>
    <t>PROD-5116</t>
  </si>
  <si>
    <t>PROD-7492</t>
  </si>
  <si>
    <t>PROD-4531</t>
  </si>
  <si>
    <t>PROD-5599</t>
  </si>
  <si>
    <t>PROD-8172</t>
  </si>
  <si>
    <t>PROD-2308</t>
  </si>
  <si>
    <t>PROD-2810</t>
  </si>
  <si>
    <t>PROD-4088</t>
  </si>
  <si>
    <t>PROD-9526</t>
  </si>
  <si>
    <t>PROD-4095</t>
  </si>
  <si>
    <t>PROD-1201</t>
  </si>
  <si>
    <t>PROD-1910</t>
  </si>
  <si>
    <t>PROD-8390</t>
  </si>
  <si>
    <t>PROD-1687</t>
  </si>
  <si>
    <t>PROD-9362</t>
  </si>
  <si>
    <t>PROD-2230</t>
  </si>
  <si>
    <t>PROD-8471</t>
  </si>
  <si>
    <t>PROD-2820</t>
  </si>
  <si>
    <t>PROD-3627</t>
  </si>
  <si>
    <t>PROD-7680</t>
  </si>
  <si>
    <t>PROD-2256</t>
  </si>
  <si>
    <t>PROD-4817</t>
  </si>
  <si>
    <t>PROD-4730</t>
  </si>
  <si>
    <t>PROD-7115</t>
  </si>
  <si>
    <t>PROD-2788</t>
  </si>
  <si>
    <t>PROD-7403</t>
  </si>
  <si>
    <t>PROD-6247</t>
  </si>
  <si>
    <t>PROD-3805</t>
  </si>
  <si>
    <t>PROD-1139</t>
  </si>
  <si>
    <t>PROD-3035</t>
  </si>
  <si>
    <t>PROD-7735</t>
  </si>
  <si>
    <t>PROD-1269</t>
  </si>
  <si>
    <t>PROD-2400</t>
  </si>
  <si>
    <t>PROD-8967</t>
  </si>
  <si>
    <t>PROD-5897</t>
  </si>
  <si>
    <t>PROD-5856</t>
  </si>
  <si>
    <t>PROD-4664</t>
  </si>
  <si>
    <t>PROD-7576</t>
  </si>
  <si>
    <t>PROD-5634</t>
  </si>
  <si>
    <t>PROD-4572</t>
  </si>
  <si>
    <t>PROD-9976</t>
  </si>
  <si>
    <t>PROD-6688</t>
  </si>
  <si>
    <t>PROD-4286</t>
  </si>
  <si>
    <t>PROD-7136</t>
  </si>
  <si>
    <t>PROD-3644</t>
  </si>
  <si>
    <t>PROD-3258</t>
  </si>
  <si>
    <t>PROD-6639</t>
  </si>
  <si>
    <t>PROD-1774</t>
  </si>
  <si>
    <t>PROD-1524</t>
  </si>
  <si>
    <t>PROD-3943</t>
  </si>
  <si>
    <t>PROD-7415</t>
  </si>
  <si>
    <t>PROD-6953</t>
  </si>
  <si>
    <t>PROD-8248</t>
  </si>
  <si>
    <t>PROD-5154</t>
  </si>
  <si>
    <t>PROD-8473</t>
  </si>
  <si>
    <t>PROD-8756</t>
  </si>
  <si>
    <t>PROD-5956</t>
  </si>
  <si>
    <t>PROD-1916</t>
  </si>
  <si>
    <t>PROD-9402</t>
  </si>
  <si>
    <t>PROD-6325</t>
  </si>
  <si>
    <t>PROD-2041</t>
  </si>
  <si>
    <t>PROD-8992</t>
  </si>
  <si>
    <t>PROD-6782</t>
  </si>
  <si>
    <t>PROD-1091</t>
  </si>
  <si>
    <t>PROD-3380</t>
  </si>
  <si>
    <t>PROD-8789</t>
  </si>
  <si>
    <t>PROD-7673</t>
  </si>
  <si>
    <t>PROD-5494</t>
  </si>
  <si>
    <t>PROD-9378</t>
  </si>
  <si>
    <t>PROD-3450</t>
  </si>
  <si>
    <t>PROD-7425</t>
  </si>
  <si>
    <t>PROD-3965</t>
  </si>
  <si>
    <t>PROD-6538</t>
  </si>
  <si>
    <t>PROD-3221</t>
  </si>
  <si>
    <t>PROD-6897</t>
  </si>
  <si>
    <t>PROD-7588</t>
  </si>
  <si>
    <t>PROD-7258</t>
  </si>
  <si>
    <t>PROD-8033</t>
  </si>
  <si>
    <t>PROD-2551</t>
  </si>
  <si>
    <t>PROD-8010</t>
  </si>
  <si>
    <t>PROD-4575</t>
  </si>
  <si>
    <t>PROD-7473</t>
  </si>
  <si>
    <t>PROD-8729</t>
  </si>
  <si>
    <t>PROD-7639</t>
  </si>
  <si>
    <t>PROD-1795</t>
  </si>
  <si>
    <t>PROD-6198</t>
  </si>
  <si>
    <t>PROD-8031</t>
  </si>
  <si>
    <t>PROD-5270</t>
  </si>
  <si>
    <t>PROD-1979</t>
  </si>
  <si>
    <t>PROD-9254</t>
  </si>
  <si>
    <t>PROD-7702</t>
  </si>
  <si>
    <t>PROD-9040</t>
  </si>
  <si>
    <t>PROD-1366</t>
  </si>
  <si>
    <t>PROD-1455</t>
  </si>
  <si>
    <t>PROD-2499</t>
  </si>
  <si>
    <t>PROD-5268</t>
  </si>
  <si>
    <t>PROD-6443</t>
  </si>
  <si>
    <t>PROD-3270</t>
  </si>
  <si>
    <t>PROD-5399</t>
  </si>
  <si>
    <t>PROD-8895</t>
  </si>
  <si>
    <t>PROD-7974</t>
  </si>
  <si>
    <t>PROD-7456</t>
  </si>
  <si>
    <t>PROD-4733</t>
  </si>
  <si>
    <t>PROD-7534</t>
  </si>
  <si>
    <t>PROD-1172</t>
  </si>
  <si>
    <t>PROD-8917</t>
  </si>
  <si>
    <t>PROD-8076</t>
  </si>
  <si>
    <t>PROD-9448</t>
  </si>
  <si>
    <t>PROD-2850</t>
  </si>
  <si>
    <t>PROD-6662</t>
  </si>
  <si>
    <t>PROD-8304</t>
  </si>
  <si>
    <t>PROD-4707</t>
  </si>
  <si>
    <t>PROD-8787</t>
  </si>
  <si>
    <t>PROD-6497</t>
  </si>
  <si>
    <t>PROD-4014</t>
  </si>
  <si>
    <t>PROD-8705</t>
  </si>
  <si>
    <t>PROD-7471</t>
  </si>
  <si>
    <t>PROD-9405</t>
  </si>
  <si>
    <t>PROD-5917</t>
  </si>
  <si>
    <t>PROD-3015</t>
  </si>
  <si>
    <t>PROD-5352</t>
  </si>
  <si>
    <t>PROD-5067</t>
  </si>
  <si>
    <t>PROD-3938</t>
  </si>
  <si>
    <t>PROD-5033</t>
  </si>
  <si>
    <t>PROD-2171</t>
  </si>
  <si>
    <t>PROD-4096</t>
  </si>
  <si>
    <t>PROD-2959</t>
  </si>
  <si>
    <t>PROD-9178</t>
  </si>
  <si>
    <t>PROD-8831</t>
  </si>
  <si>
    <t>PROD-8261</t>
  </si>
  <si>
    <t>PROD-9022</t>
  </si>
  <si>
    <t>PROD-4978</t>
  </si>
  <si>
    <t>PROD-7659</t>
  </si>
  <si>
    <t>PROD-2878</t>
  </si>
  <si>
    <t>PROD-2975</t>
  </si>
  <si>
    <t>PROD-9346</t>
  </si>
  <si>
    <t>PROD-9541</t>
  </si>
  <si>
    <t>PROD-6652</t>
  </si>
  <si>
    <t>PROD-6678</t>
  </si>
  <si>
    <t>PROD-6396</t>
  </si>
  <si>
    <t>PROD-6050</t>
  </si>
  <si>
    <t>PROD-1255</t>
  </si>
  <si>
    <t>PROD-4319</t>
  </si>
  <si>
    <t>PROD-7043</t>
  </si>
  <si>
    <t>PROD-2019</t>
  </si>
  <si>
    <t>PROD-1678</t>
  </si>
  <si>
    <t>PROD-3460</t>
  </si>
  <si>
    <t>PROD-2608</t>
  </si>
  <si>
    <t>PROD-1298</t>
  </si>
  <si>
    <t>PROD-5753</t>
  </si>
  <si>
    <t>PROD-6327</t>
  </si>
  <si>
    <t>PROD-6964</t>
  </si>
  <si>
    <t>PROD-5385</t>
  </si>
  <si>
    <t>PROD-6915</t>
  </si>
  <si>
    <t>PROD-2112</t>
  </si>
  <si>
    <t>PROD-3393</t>
  </si>
  <si>
    <t>PROD-2283</t>
  </si>
  <si>
    <t>PROD-2609</t>
  </si>
  <si>
    <t>PROD-2626</t>
  </si>
  <si>
    <t>PROD-8200</t>
  </si>
  <si>
    <t>PROD-2331</t>
  </si>
  <si>
    <t>PROD-1042</t>
  </si>
  <si>
    <t>PROD-8302</t>
  </si>
  <si>
    <t>PROD-1517</t>
  </si>
  <si>
    <t>PROD-8294</t>
  </si>
  <si>
    <t>PROD-6865</t>
  </si>
  <si>
    <t>PROD-5048</t>
  </si>
  <si>
    <t>PROD-4511</t>
  </si>
  <si>
    <t>PROD-9151</t>
  </si>
  <si>
    <t>PROD-3391</t>
  </si>
  <si>
    <t>PROD-9513</t>
  </si>
  <si>
    <t>PROD-2675</t>
  </si>
  <si>
    <t>PROD-4234</t>
  </si>
  <si>
    <t>PROD-4262</t>
  </si>
  <si>
    <t>PROD-1677</t>
  </si>
  <si>
    <t>PROD-3647</t>
  </si>
  <si>
    <t>PROD-3528</t>
  </si>
  <si>
    <t>PROD-1349</t>
  </si>
  <si>
    <t>PROD-3103</t>
  </si>
  <si>
    <t>PROD-9908</t>
  </si>
  <si>
    <t>PROD-4374</t>
  </si>
  <si>
    <t>PROD-5780</t>
  </si>
  <si>
    <t>PROD-8527</t>
  </si>
  <si>
    <t>PROD-3089</t>
  </si>
  <si>
    <t>PROD-1232</t>
  </si>
  <si>
    <t>PROD-2227</t>
  </si>
  <si>
    <t>PROD-5476</t>
  </si>
  <si>
    <t>PROD-4112</t>
  </si>
  <si>
    <t>PROD-9684</t>
  </si>
  <si>
    <t>PROD-4924</t>
  </si>
  <si>
    <t>PROD-3734</t>
  </si>
  <si>
    <t>PROD-2155</t>
  </si>
  <si>
    <t>PROD-1842</t>
  </si>
  <si>
    <t>PROD-4304</t>
  </si>
  <si>
    <t>PROD-6807</t>
  </si>
  <si>
    <t>PROD-9572</t>
  </si>
  <si>
    <t>PROD-6762</t>
  </si>
  <si>
    <t>PROD-5040</t>
  </si>
  <si>
    <t>PROD-4155</t>
  </si>
  <si>
    <t>PROD-6936</t>
  </si>
  <si>
    <t>PROD-3925</t>
  </si>
  <si>
    <t>PROD-4973</t>
  </si>
  <si>
    <t>PROD-9618</t>
  </si>
  <si>
    <t>PROD-3055</t>
  </si>
  <si>
    <t>PROD-2792</t>
  </si>
  <si>
    <t>PROD-5957</t>
  </si>
  <si>
    <t>PROD-9589</t>
  </si>
  <si>
    <t>PROD-3971</t>
  </si>
  <si>
    <t>PROD-6500</t>
  </si>
  <si>
    <t>PROD-3778</t>
  </si>
  <si>
    <t>PROD-5637</t>
  </si>
  <si>
    <t>PROD-1454</t>
  </si>
  <si>
    <t>PROD-1437</t>
  </si>
  <si>
    <t>PROD-7165</t>
  </si>
  <si>
    <t>PROD-7111</t>
  </si>
  <si>
    <t>PROD-5156</t>
  </si>
  <si>
    <t>PROD-3140</t>
  </si>
  <si>
    <t>PROD-9638</t>
  </si>
  <si>
    <t>PROD-8132</t>
  </si>
  <si>
    <t>PROD-2065</t>
  </si>
  <si>
    <t>PROD-5717</t>
  </si>
  <si>
    <t>PROD-2150</t>
  </si>
  <si>
    <t>PROD-5407</t>
  </si>
  <si>
    <t>PROD-3178</t>
  </si>
  <si>
    <t>PROD-8055</t>
  </si>
  <si>
    <t>PROD-5221</t>
  </si>
  <si>
    <t>PROD-9227</t>
  </si>
  <si>
    <t>PROD-8183</t>
  </si>
  <si>
    <t>PROD-5403</t>
  </si>
  <si>
    <t>PROD-9761</t>
  </si>
  <si>
    <t>PROD-3797</t>
  </si>
  <si>
    <t>PROD-2206</t>
  </si>
  <si>
    <t>PROD-1428</t>
  </si>
  <si>
    <t>PROD-3622</t>
  </si>
  <si>
    <t>PROD-7676</t>
  </si>
  <si>
    <t>PROD-1578</t>
  </si>
  <si>
    <t>PROD-6110</t>
  </si>
  <si>
    <t>PROD-3231</t>
  </si>
  <si>
    <t>PROD-7192</t>
  </si>
  <si>
    <t>PROD-8319</t>
  </si>
  <si>
    <t>PROD-2113</t>
  </si>
  <si>
    <t>PROD-3968</t>
  </si>
  <si>
    <t>PROD-3814</t>
  </si>
  <si>
    <t>PROD-3498</t>
  </si>
  <si>
    <t>PROD-3293</t>
  </si>
  <si>
    <t>PROD-9752</t>
  </si>
  <si>
    <t>PROD-3018</t>
  </si>
  <si>
    <t>PROD-9742</t>
  </si>
  <si>
    <t>PROD-5107</t>
  </si>
  <si>
    <t>PROD-7235</t>
  </si>
  <si>
    <t>PROD-7919</t>
  </si>
  <si>
    <t>PROD-8569</t>
  </si>
  <si>
    <t>PROD-5026</t>
  </si>
  <si>
    <t>PROD-4908</t>
  </si>
  <si>
    <t>PROD-6802</t>
  </si>
  <si>
    <t>PROD-6962</t>
  </si>
  <si>
    <t>PROD-7072</t>
  </si>
  <si>
    <t>PROD-5729</t>
  </si>
  <si>
    <t>PROD-3332</t>
  </si>
  <si>
    <t>PROD-7877</t>
  </si>
  <si>
    <t>PROD-4613</t>
  </si>
  <si>
    <t>PROD-4559</t>
  </si>
  <si>
    <t>PROD-8747</t>
  </si>
  <si>
    <t>PROD-2352</t>
  </si>
  <si>
    <t>PROD-7884</t>
  </si>
  <si>
    <t>PROD-1535</t>
  </si>
  <si>
    <t>PROD-9889</t>
  </si>
  <si>
    <t>PROD-1507</t>
  </si>
  <si>
    <t>PROD-8885</t>
  </si>
  <si>
    <t>PROD-7263</t>
  </si>
  <si>
    <t>PROD-2678</t>
  </si>
  <si>
    <t>PROD-2050</t>
  </si>
  <si>
    <t>PROD-5491</t>
  </si>
  <si>
    <t>PROD-9138</t>
  </si>
  <si>
    <t>PROD-3422</t>
  </si>
  <si>
    <t>PROD-1684</t>
  </si>
  <si>
    <t>PROD-6641</t>
  </si>
  <si>
    <t>PROD-7276</t>
  </si>
  <si>
    <t>PROD-3153</t>
  </si>
  <si>
    <t>PROD-6838</t>
  </si>
  <si>
    <t>PROD-8725</t>
  </si>
  <si>
    <t>PROD-1972</t>
  </si>
  <si>
    <t>PROD-9611</t>
  </si>
  <si>
    <t>PROD-6082</t>
  </si>
  <si>
    <t>PROD-1350</t>
  </si>
  <si>
    <t>PROD-5428</t>
  </si>
  <si>
    <t>PROD-9380</t>
  </si>
  <si>
    <t>PROD-7746</t>
  </si>
  <si>
    <t>PROD-8685</t>
  </si>
  <si>
    <t>PROD-9869</t>
  </si>
  <si>
    <t>PROD-6614</t>
  </si>
  <si>
    <t>PROD-4390</t>
  </si>
  <si>
    <t>PROD-2185</t>
  </si>
  <si>
    <t>PROD-6402</t>
  </si>
  <si>
    <t>PROD-4165</t>
  </si>
  <si>
    <t>PROD-7611</t>
  </si>
  <si>
    <t>PROD-5806</t>
  </si>
  <si>
    <t>PROD-9685</t>
  </si>
  <si>
    <t>PROD-3687</t>
  </si>
  <si>
    <t>PROD-6391</t>
  </si>
  <si>
    <t>PROD-9677</t>
  </si>
  <si>
    <t>PROD-5640</t>
  </si>
  <si>
    <t>PROD-4492</t>
  </si>
  <si>
    <t>PROD-7932</t>
  </si>
  <si>
    <t>PROD-1644</t>
  </si>
  <si>
    <t>PROD-2328</t>
  </si>
  <si>
    <t>PROD-7515</t>
  </si>
  <si>
    <t>PROD-9456</t>
  </si>
  <si>
    <t>PROD-7535</t>
  </si>
  <si>
    <t>PROD-1889</t>
  </si>
  <si>
    <t>PROD-7187</t>
  </si>
  <si>
    <t>PROD-7140</t>
  </si>
  <si>
    <t>PROD-3195</t>
  </si>
  <si>
    <t>PROD-9951</t>
  </si>
  <si>
    <t>PROD-4191</t>
  </si>
  <si>
    <t>PROD-2960</t>
  </si>
  <si>
    <t>PROD-8655</t>
  </si>
  <si>
    <t>PROD-6885</t>
  </si>
  <si>
    <t>PROD-5410</t>
  </si>
  <si>
    <t>PROD-5203</t>
  </si>
  <si>
    <t>PROD-5197</t>
  </si>
  <si>
    <t>PROD-8772</t>
  </si>
  <si>
    <t>PROD-3412</t>
  </si>
  <si>
    <t>PROD-7132</t>
  </si>
  <si>
    <t>PROD-3484</t>
  </si>
  <si>
    <t>PROD-6839</t>
  </si>
  <si>
    <t>PROD-5657</t>
  </si>
  <si>
    <t>PROD-9814</t>
  </si>
  <si>
    <t>PROD-7668</t>
  </si>
  <si>
    <t>PROD-5910</t>
  </si>
  <si>
    <t>PROD-7679</t>
  </si>
  <si>
    <t>PROD-4543</t>
  </si>
  <si>
    <t>PROD-9675</t>
  </si>
  <si>
    <t>PROD-5607</t>
  </si>
  <si>
    <t>PROD-3473</t>
  </si>
  <si>
    <t>PROD-3261</t>
  </si>
  <si>
    <t>PROD-3936</t>
  </si>
  <si>
    <t>PROD-8984</t>
  </si>
  <si>
    <t>PROD-7878</t>
  </si>
  <si>
    <t>PROD-3643</t>
  </si>
  <si>
    <t>PROD-6133</t>
  </si>
  <si>
    <t>PROD-8899</t>
  </si>
  <si>
    <t>PROD-2521</t>
  </si>
  <si>
    <t>PROD-8759</t>
  </si>
  <si>
    <t>PROD-5877</t>
  </si>
  <si>
    <t>PROD-2775</t>
  </si>
  <si>
    <t>PROD-1142</t>
  </si>
  <si>
    <t>PROD-3787</t>
  </si>
  <si>
    <t>PROD-6975</t>
  </si>
  <si>
    <t>PROD-1303</t>
  </si>
  <si>
    <t>PROD-1460</t>
  </si>
  <si>
    <t>PROD-8103</t>
  </si>
  <si>
    <t>PROD-3181</t>
  </si>
  <si>
    <t>PROD-2371</t>
  </si>
  <si>
    <t>PROD-8535</t>
  </si>
  <si>
    <t>PROD-5441</t>
  </si>
  <si>
    <t>PROD-5278</t>
  </si>
  <si>
    <t>PROD-8521</t>
  </si>
  <si>
    <t>PROD-7964</t>
  </si>
  <si>
    <t>PROD-8439</t>
  </si>
  <si>
    <t>PROD-3159</t>
  </si>
  <si>
    <t>PROD-8525</t>
  </si>
  <si>
    <t>PROD-9625</t>
  </si>
  <si>
    <t>PROD-1182</t>
  </si>
  <si>
    <t>PROD-7211</t>
  </si>
  <si>
    <t>PROD-3864</t>
  </si>
  <si>
    <t>PROD-4734</t>
  </si>
  <si>
    <t>PROD-7714</t>
  </si>
  <si>
    <t>PROD-6158</t>
  </si>
  <si>
    <t>PROD-8530</t>
  </si>
  <si>
    <t>PROD-4552</t>
  </si>
  <si>
    <t>PROD-7734</t>
  </si>
  <si>
    <t>PROD-5284</t>
  </si>
  <si>
    <t>PROD-2933</t>
  </si>
  <si>
    <t>PROD-8681</t>
  </si>
  <si>
    <t>PROD-6024</t>
  </si>
  <si>
    <t>PROD-5520</t>
  </si>
  <si>
    <t>PROD-2047</t>
  </si>
  <si>
    <t>PROD-5903</t>
  </si>
  <si>
    <t>PROD-9125</t>
  </si>
  <si>
    <t>PROD-2581</t>
  </si>
  <si>
    <t>PROD-9477</t>
  </si>
  <si>
    <t>PROD-7027</t>
  </si>
  <si>
    <t>PROD-9943</t>
  </si>
  <si>
    <t>PROD-1964</t>
  </si>
  <si>
    <t>PROD-1810</t>
  </si>
  <si>
    <t>PROD-7804</t>
  </si>
  <si>
    <t>PROD-5538</t>
  </si>
  <si>
    <t>PROD-1818</t>
  </si>
  <si>
    <t>PROD-1608</t>
  </si>
  <si>
    <t>PROD-8465</t>
  </si>
  <si>
    <t>PROD-8254</t>
  </si>
  <si>
    <t>PROD-1922</t>
  </si>
  <si>
    <t>PROD-1412</t>
  </si>
  <si>
    <t>PROD-4037</t>
  </si>
  <si>
    <t>PROD-8791</t>
  </si>
  <si>
    <t>PROD-7633</t>
  </si>
  <si>
    <t>PROD-3115</t>
  </si>
  <si>
    <t>PROD-3442</t>
  </si>
  <si>
    <t>PROD-6140</t>
  </si>
  <si>
    <t>PROD-3050</t>
  </si>
  <si>
    <t>PROD-2672</t>
  </si>
  <si>
    <t>PROD-1821</t>
  </si>
  <si>
    <t>PROD-4179</t>
  </si>
  <si>
    <t>PROD-3995</t>
  </si>
  <si>
    <t>PROD-7476</t>
  </si>
  <si>
    <t>PROD-8513</t>
  </si>
  <si>
    <t>PROD-5228</t>
  </si>
  <si>
    <t>PROD-6081</t>
  </si>
  <si>
    <t>PROD-4256</t>
  </si>
  <si>
    <t>PROD-6535</t>
  </si>
  <si>
    <t>PROD-9038</t>
  </si>
  <si>
    <t>PROD-1036</t>
  </si>
  <si>
    <t>PROD-2201</t>
  </si>
  <si>
    <t>PROD-2513</t>
  </si>
  <si>
    <t>PROD-9194</t>
  </si>
  <si>
    <t>PROD-2899</t>
  </si>
  <si>
    <t>PROD-6290</t>
  </si>
  <si>
    <t>PROD-3495</t>
  </si>
  <si>
    <t>PROD-4631</t>
  </si>
  <si>
    <t>PROD-3300</t>
  </si>
  <si>
    <t>PROD-9764</t>
  </si>
  <si>
    <t>PROD-8375</t>
  </si>
  <si>
    <t>PROD-7913</t>
  </si>
  <si>
    <t>PROD-7889</t>
  </si>
  <si>
    <t>PROD-6010</t>
  </si>
  <si>
    <t>PROD-9600</t>
  </si>
  <si>
    <t>PROD-1668</t>
  </si>
  <si>
    <t>PROD-3464</t>
  </si>
  <si>
    <t>PROD-9110</t>
  </si>
  <si>
    <t>PROD-9058</t>
  </si>
  <si>
    <t>PROD-1284</t>
  </si>
  <si>
    <t>PROD-2815</t>
  </si>
  <si>
    <t>PROD-3882</t>
  </si>
  <si>
    <t>PROD-3245</t>
  </si>
  <si>
    <t>PROD-8053</t>
  </si>
  <si>
    <t>PROD-9966</t>
  </si>
  <si>
    <t>PROD-8358</t>
  </si>
  <si>
    <t>PROD-4713</t>
  </si>
  <si>
    <t>PROD-3347</t>
  </si>
  <si>
    <t>PROD-8143</t>
  </si>
  <si>
    <t>PROD-4273</t>
  </si>
  <si>
    <t>PROD-3080</t>
  </si>
  <si>
    <t>PROD-1387</t>
  </si>
  <si>
    <t>PROD-5205</t>
  </si>
  <si>
    <t>PROD-3854</t>
  </si>
  <si>
    <t>PROD-4185</t>
  </si>
  <si>
    <t>PROD-2078</t>
  </si>
  <si>
    <t>PROD-2532</t>
  </si>
  <si>
    <t>PROD-6627</t>
  </si>
  <si>
    <t>PROD-9073</t>
  </si>
  <si>
    <t>PROD-4026</t>
  </si>
  <si>
    <t>PROD-7058</t>
  </si>
  <si>
    <t>PROD-1132</t>
  </si>
  <si>
    <t>PROD-9591</t>
  </si>
  <si>
    <t>PROD-6996</t>
  </si>
  <si>
    <t>PROD-5582</t>
  </si>
  <si>
    <t>PROD-9936</t>
  </si>
  <si>
    <t>PROD-3846</t>
  </si>
  <si>
    <t>PROD-9653</t>
  </si>
  <si>
    <t>PROD-6988</t>
  </si>
  <si>
    <t>PROD-1474</t>
  </si>
  <si>
    <t>PROD-9180</t>
  </si>
  <si>
    <t>PROD-6260</t>
  </si>
  <si>
    <t>PROD-7170</t>
  </si>
  <si>
    <t>PROD-5301</t>
  </si>
  <si>
    <t>PROD-5471</t>
  </si>
  <si>
    <t>PROD-6757</t>
  </si>
  <si>
    <t>PROD-8453</t>
  </si>
  <si>
    <t>PROD-1643</t>
  </si>
  <si>
    <t>PROD-2097</t>
  </si>
  <si>
    <t>PROD-1327</t>
  </si>
  <si>
    <t>PROD-4810</t>
  </si>
  <si>
    <t>PROD-8460</t>
  </si>
  <si>
    <t>PROD-5698</t>
  </si>
  <si>
    <t>PROD-4980</t>
  </si>
  <si>
    <t>PROD-6972</t>
  </si>
  <si>
    <t>PROD-3481</t>
  </si>
  <si>
    <t>PROD-5541</t>
  </si>
  <si>
    <t>PROD-5771</t>
  </si>
  <si>
    <t>PROD-9311</t>
  </si>
  <si>
    <t>PROD-3976</t>
  </si>
  <si>
    <t>PROD-8732</t>
  </si>
  <si>
    <t>PROD-1041</t>
  </si>
  <si>
    <t>PROD-9453</t>
  </si>
  <si>
    <t>PROD-2215</t>
  </si>
  <si>
    <t>PROD-1205</t>
  </si>
  <si>
    <t>PROD-6329</t>
  </si>
  <si>
    <t>PROD-8379</t>
  </si>
  <si>
    <t>PROD-6268</t>
  </si>
  <si>
    <t>PROD-5539</t>
  </si>
  <si>
    <t>PROD-7883</t>
  </si>
  <si>
    <t>PROD-4809</t>
  </si>
  <si>
    <t>PROD-4697</t>
  </si>
  <si>
    <t>PROD-2428</t>
  </si>
  <si>
    <t>PROD-8965</t>
  </si>
  <si>
    <t>PROD-7052</t>
  </si>
  <si>
    <t>PROD-4518</t>
  </si>
  <si>
    <t>PROD-3375</t>
  </si>
  <si>
    <t>PROD-7254</t>
  </si>
  <si>
    <t>PROD-9435</t>
  </si>
  <si>
    <t>PROD-8849</t>
  </si>
  <si>
    <t>PROD-2944</t>
  </si>
  <si>
    <t>PROD-4504</t>
  </si>
  <si>
    <t>PROD-5863</t>
  </si>
  <si>
    <t>PROD-8592</t>
  </si>
  <si>
    <t>PROD-2025</t>
  </si>
  <si>
    <t>PROD-5445</t>
  </si>
  <si>
    <t>PROD-5300</t>
  </si>
  <si>
    <t>PROD-9801</t>
  </si>
  <si>
    <t>PROD-2862</t>
  </si>
  <si>
    <t>PROD-7436</t>
  </si>
  <si>
    <t>PROD-4997</t>
  </si>
  <si>
    <t>PROD-5540</t>
  </si>
  <si>
    <t>PROD-2904</t>
  </si>
  <si>
    <t>PROD-7130</t>
  </si>
  <si>
    <t>PROD-6442</t>
  </si>
  <si>
    <t>PROD-7604</t>
  </si>
  <si>
    <t>PROD-2252</t>
  </si>
  <si>
    <t>PROD-1858</t>
  </si>
  <si>
    <t>PROD-6916</t>
  </si>
  <si>
    <t>PROD-7513</t>
  </si>
  <si>
    <t>PROD-9569</t>
  </si>
  <si>
    <t>PROD-9749</t>
  </si>
  <si>
    <t>PROD-1280</t>
  </si>
  <si>
    <t>PROD-3813</t>
  </si>
  <si>
    <t>PROD-1729</t>
  </si>
  <si>
    <t>PROD-5797</t>
  </si>
  <si>
    <t>PROD-8589</t>
  </si>
  <si>
    <t>PROD-9492</t>
  </si>
  <si>
    <t>PROD-8126</t>
  </si>
  <si>
    <t>PROD-1782</t>
  </si>
  <si>
    <t>PROD-2089</t>
  </si>
  <si>
    <t>PROD-8955</t>
  </si>
  <si>
    <t>PROD-5707</t>
  </si>
  <si>
    <t>PROD-8450</t>
  </si>
  <si>
    <t>PROD-2319</t>
  </si>
  <si>
    <t>PROD-8504</t>
  </si>
  <si>
    <t>PROD-6663</t>
  </si>
  <si>
    <t>PROD-8656</t>
  </si>
  <si>
    <t>PROD-9697</t>
  </si>
  <si>
    <t>PROD-6236</t>
  </si>
  <si>
    <t>PROD-7937</t>
  </si>
  <si>
    <t>PROD-1223</t>
  </si>
  <si>
    <t>PROD-7855</t>
  </si>
  <si>
    <t>PROD-3741</t>
  </si>
  <si>
    <t>PROD-8044</t>
  </si>
  <si>
    <t>PROD-1874</t>
  </si>
  <si>
    <t>PROD-7592</t>
  </si>
  <si>
    <t>PROD-3823</t>
  </si>
  <si>
    <t>PROD-9499</t>
  </si>
  <si>
    <t>PROD-7685</t>
  </si>
  <si>
    <t>PROD-4753</t>
  </si>
  <si>
    <t>PROD-2432</t>
  </si>
  <si>
    <t>PROD-1198</t>
  </si>
  <si>
    <t>PROD-3536</t>
  </si>
  <si>
    <t>PROD-9667</t>
  </si>
  <si>
    <t>PROD-3407</t>
  </si>
  <si>
    <t>PROD-5032</t>
  </si>
  <si>
    <t>PROD-2244</t>
  </si>
  <si>
    <t>PROD-9222</t>
  </si>
  <si>
    <t>PROD-5549</t>
  </si>
  <si>
    <t>PROD-9121</t>
  </si>
  <si>
    <t>PROD-1682</t>
  </si>
  <si>
    <t>PROD-6155</t>
  </si>
  <si>
    <t>PROD-3904</t>
  </si>
  <si>
    <t>PROD-6997</t>
  </si>
  <si>
    <t>PROD-5002</t>
  </si>
  <si>
    <t>PROD-8921</t>
  </si>
  <si>
    <t>PROD-6004</t>
  </si>
  <si>
    <t>PROD-6313</t>
  </si>
  <si>
    <t>PROD-3841</t>
  </si>
  <si>
    <t>PROD-9735</t>
  </si>
  <si>
    <t>PROD-5669</t>
  </si>
  <si>
    <t>PROD-7747</t>
  </si>
  <si>
    <t>PROD-1822</t>
  </si>
  <si>
    <t>PROD-7321</t>
  </si>
  <si>
    <t>PROD-9035</t>
  </si>
  <si>
    <t>PROD-7101</t>
  </si>
  <si>
    <t>PROD-8948</t>
  </si>
  <si>
    <t>PROD-5699</t>
  </si>
  <si>
    <t>PROD-9496</t>
  </si>
  <si>
    <t>PROD-3382</t>
  </si>
  <si>
    <t>PROD-9848</t>
  </si>
  <si>
    <t>PROD-1025</t>
  </si>
  <si>
    <t>PROD-5281</t>
  </si>
  <si>
    <t>PROD-6224</t>
  </si>
  <si>
    <t>PROD-7494</t>
  </si>
  <si>
    <t>PROD-2685</t>
  </si>
  <si>
    <t>PROD-2543</t>
  </si>
  <si>
    <t>PROD-2350</t>
  </si>
  <si>
    <t>PROD-6059</t>
  </si>
  <si>
    <t>PROD-2875</t>
  </si>
  <si>
    <t>PROD-1625</t>
  </si>
  <si>
    <t>PROD-5326</t>
  </si>
  <si>
    <t>PROD-6156</t>
  </si>
  <si>
    <t>PROD-9149</t>
  </si>
  <si>
    <t>PROD-4570</t>
  </si>
  <si>
    <t>PROD-9060</t>
  </si>
  <si>
    <t>PROD-5547</t>
  </si>
  <si>
    <t>PROD-8959</t>
  </si>
  <si>
    <t>PROD-1971</t>
  </si>
  <si>
    <t>PROD-5887</t>
  </si>
  <si>
    <t>PROD-6426</t>
  </si>
  <si>
    <t>PROD-8721</t>
  </si>
  <si>
    <t>PROD-5614</t>
  </si>
  <si>
    <t>PROD-5373</t>
  </si>
  <si>
    <t>PROD-5786</t>
  </si>
  <si>
    <t>PROD-6116</t>
  </si>
  <si>
    <t>PROD-3793</t>
  </si>
  <si>
    <t>PROD-3456</t>
  </si>
  <si>
    <t>PROD-2310</t>
  </si>
  <si>
    <t>PROD-4772</t>
  </si>
  <si>
    <t>PROD-7948</t>
  </si>
  <si>
    <t>PROD-3927</t>
  </si>
  <si>
    <t>PROD-2238</t>
  </si>
  <si>
    <t>PROD-4046</t>
  </si>
  <si>
    <t>PROD-9494</t>
  </si>
  <si>
    <t>PROD-1069</t>
  </si>
  <si>
    <t>PROD-3334</t>
  </si>
  <si>
    <t>PROD-8097</t>
  </si>
  <si>
    <t>PROD-9613</t>
  </si>
  <si>
    <t>PROD-1978</t>
  </si>
  <si>
    <t>PROD-9510</t>
  </si>
  <si>
    <t>PROD-9564</t>
  </si>
  <si>
    <t>PROD-9395</t>
  </si>
  <si>
    <t>PROD-2114</t>
  </si>
  <si>
    <t>PROD-1033</t>
  </si>
  <si>
    <t>PROD-7717</t>
  </si>
  <si>
    <t>PROD-3020</t>
  </si>
  <si>
    <t>PROD-1084</t>
  </si>
  <si>
    <t>PROD-4561</t>
  </si>
  <si>
    <t>PROD-9287</t>
  </si>
  <si>
    <t>PROD-1906</t>
  </si>
  <si>
    <t>PROD-3855</t>
  </si>
  <si>
    <t>PROD-2347</t>
  </si>
  <si>
    <t>PROD-5075</t>
  </si>
  <si>
    <t>PROD-5334</t>
  </si>
  <si>
    <t>PROD-9972</t>
  </si>
  <si>
    <t>PROD-7217</t>
  </si>
  <si>
    <t>PROD-2408</t>
  </si>
  <si>
    <t>PROD-3441</t>
  </si>
  <si>
    <t>PROD-3475</t>
  </si>
  <si>
    <t>PROD-3603</t>
  </si>
  <si>
    <t>PROD-5965</t>
  </si>
  <si>
    <t>PROD-1731</t>
  </si>
  <si>
    <t>PROD-3188</t>
  </si>
  <si>
    <t>PROD-1748</t>
  </si>
  <si>
    <t>PROD-4782</t>
  </si>
  <si>
    <t>PROD-4250</t>
  </si>
  <si>
    <t>PROD-9168</t>
  </si>
  <si>
    <t>PROD-2536</t>
  </si>
  <si>
    <t>PROD-2861</t>
  </si>
  <si>
    <t>PROD-6468</t>
  </si>
  <si>
    <t>PROD-2797</t>
  </si>
  <si>
    <t>PROD-5237</t>
  </si>
  <si>
    <t>PROD-3416</t>
  </si>
  <si>
    <t>PROD-5414</t>
  </si>
  <si>
    <t>PROD-4624</t>
  </si>
  <si>
    <t>PROD-5901</t>
  </si>
  <si>
    <t>PROD-5208</t>
  </si>
  <si>
    <t>PROD-9123</t>
  </si>
  <si>
    <t>PROD-6412</t>
  </si>
  <si>
    <t>PROD-9332</t>
  </si>
  <si>
    <t>PROD-9597</t>
  </si>
  <si>
    <t>PROD-7143</t>
  </si>
  <si>
    <t>PROD-7097</t>
  </si>
  <si>
    <t>PROD-3483</t>
  </si>
  <si>
    <t>PROD-6674</t>
  </si>
  <si>
    <t>PROD-9751</t>
  </si>
  <si>
    <t>PROD-4737</t>
  </si>
  <si>
    <t>PROD-1148</t>
  </si>
  <si>
    <t>PROD-1666</t>
  </si>
  <si>
    <t>PROD-3406</t>
  </si>
  <si>
    <t>PROD-8730</t>
  </si>
  <si>
    <t>PROD-1872</t>
  </si>
  <si>
    <t>PROD-8263</t>
  </si>
  <si>
    <t>PROD-7879</t>
  </si>
  <si>
    <t>PROD-9217</t>
  </si>
  <si>
    <t>PROD-4846</t>
  </si>
  <si>
    <t>PROD-3408</t>
  </si>
  <si>
    <t>PROD-5355</t>
  </si>
  <si>
    <t>PROD-1927</t>
  </si>
  <si>
    <t>PROD-7377</t>
  </si>
  <si>
    <t>PROD-2107</t>
  </si>
  <si>
    <t>PROD-5173</t>
  </si>
  <si>
    <t>PROD-3305</t>
  </si>
  <si>
    <t>PROD-4220</t>
  </si>
  <si>
    <t>PROD-5220</t>
  </si>
  <si>
    <t>PROD-8817</t>
  </si>
  <si>
    <t>PROD-8632</t>
  </si>
  <si>
    <t>PROD-2949</t>
  </si>
  <si>
    <t>PROD-5307</t>
  </si>
  <si>
    <t>PROD-9865</t>
  </si>
  <si>
    <t>PROD-2172</t>
  </si>
  <si>
    <t>PROD-5344</t>
  </si>
  <si>
    <t>PROD-7896</t>
  </si>
  <si>
    <t>PROD-4536</t>
  </si>
  <si>
    <t>PROD-2059</t>
  </si>
  <si>
    <t>PROD-9299</t>
  </si>
  <si>
    <t>PROD-7446</t>
  </si>
  <si>
    <t>PROD-4717</t>
  </si>
  <si>
    <t>PROD-6881</t>
  </si>
  <si>
    <t>PROD-7089</t>
  </si>
  <si>
    <t>PROD-7048</t>
  </si>
  <si>
    <t>PROD-7155</t>
  </si>
  <si>
    <t>PROD-7860</t>
  </si>
  <si>
    <t>PROD-8753</t>
  </si>
  <si>
    <t>PROD-1559</t>
  </si>
  <si>
    <t>PROD-7587</t>
  </si>
  <si>
    <t>PROD-4107</t>
  </si>
  <si>
    <t>PROD-5166</t>
  </si>
  <si>
    <t>PROD-4079</t>
  </si>
  <si>
    <t>PROD-9223</t>
  </si>
  <si>
    <t>PROD-2563</t>
  </si>
  <si>
    <t>PROD-6616</t>
  </si>
  <si>
    <t>PROD-2324</t>
  </si>
  <si>
    <t>PROD-7340</t>
  </si>
  <si>
    <t>PROD-1447</t>
  </si>
  <si>
    <t>PROD-8006</t>
  </si>
  <si>
    <t>PROD-9117</t>
  </si>
  <si>
    <t>PROD-7636</t>
  </si>
  <si>
    <t>PROD-2516</t>
  </si>
  <si>
    <t>PROD-6193</t>
  </si>
  <si>
    <t>PROD-7363</t>
  </si>
  <si>
    <t>PROD-9693</t>
  </si>
  <si>
    <t>PROD-3405</t>
  </si>
  <si>
    <t>PROD-1317</t>
  </si>
  <si>
    <t>PROD-4649</t>
  </si>
  <si>
    <t>PROD-7198</t>
  </si>
  <si>
    <t>PROD-1097</t>
  </si>
  <si>
    <t>PROD-6576</t>
  </si>
  <si>
    <t>PROD-3352</t>
  </si>
  <si>
    <t>PROD-4655</t>
  </si>
  <si>
    <t>PROD-1244</t>
  </si>
  <si>
    <t>PROD-1980</t>
  </si>
  <si>
    <t>PROD-5317</t>
  </si>
  <si>
    <t>PROD-1498</t>
  </si>
  <si>
    <t>PROD-5140</t>
  </si>
  <si>
    <t>PROD-8506</t>
  </si>
  <si>
    <t>PROD-9561</t>
  </si>
  <si>
    <t>PROD-5902</t>
  </si>
  <si>
    <t>PROD-8533</t>
  </si>
  <si>
    <t>PROD-5479</t>
  </si>
  <si>
    <t>Furniture</t>
  </si>
  <si>
    <t>Technology</t>
  </si>
  <si>
    <t>Office Supplies</t>
  </si>
  <si>
    <t>Bookcases</t>
  </si>
  <si>
    <t>Furnishings</t>
  </si>
  <si>
    <t>Phones</t>
  </si>
  <si>
    <t>Machines</t>
  </si>
  <si>
    <t>Accessories</t>
  </si>
  <si>
    <t>Appliances</t>
  </si>
  <si>
    <t>Paper</t>
  </si>
  <si>
    <t>Binders</t>
  </si>
  <si>
    <t>Tables</t>
  </si>
  <si>
    <t>Chairs</t>
  </si>
  <si>
    <t>Copiers</t>
  </si>
  <si>
    <t>Storage</t>
  </si>
  <si>
    <t>Product 241</t>
  </si>
  <si>
    <t>Product 432</t>
  </si>
  <si>
    <t>Product 401</t>
  </si>
  <si>
    <t>Product 99</t>
  </si>
  <si>
    <t>Product 53</t>
  </si>
  <si>
    <t>Product 372</t>
  </si>
  <si>
    <t>Product 265</t>
  </si>
  <si>
    <t>Product 294</t>
  </si>
  <si>
    <t>Product 422</t>
  </si>
  <si>
    <t>Product 461</t>
  </si>
  <si>
    <t>Product 404</t>
  </si>
  <si>
    <t>Product 565</t>
  </si>
  <si>
    <t>Product 548</t>
  </si>
  <si>
    <t>Product 384</t>
  </si>
  <si>
    <t>Product 581</t>
  </si>
  <si>
    <t>Product 543</t>
  </si>
  <si>
    <t>Product 412</t>
  </si>
  <si>
    <t>Product 111</t>
  </si>
  <si>
    <t>Product 174</t>
  </si>
  <si>
    <t>Product 427</t>
  </si>
  <si>
    <t>Product 416</t>
  </si>
  <si>
    <t>Product 395</t>
  </si>
  <si>
    <t>Product 312</t>
  </si>
  <si>
    <t>Product 292</t>
  </si>
  <si>
    <t>Product 357</t>
  </si>
  <si>
    <t>Product 125</t>
  </si>
  <si>
    <t>Product 323</t>
  </si>
  <si>
    <t>Product 105</t>
  </si>
  <si>
    <t>Product 126</t>
  </si>
  <si>
    <t>Product 342</t>
  </si>
  <si>
    <t>Product 55</t>
  </si>
  <si>
    <t>Product 114</t>
  </si>
  <si>
    <t>Product 175</t>
  </si>
  <si>
    <t>Product 375</t>
  </si>
  <si>
    <t>Product 327</t>
  </si>
  <si>
    <t>Product 438</t>
  </si>
  <si>
    <t>Product 81</t>
  </si>
  <si>
    <t>Product 329</t>
  </si>
  <si>
    <t>Product 101</t>
  </si>
  <si>
    <t>Product 254</t>
  </si>
  <si>
    <t>Product 39</t>
  </si>
  <si>
    <t>Product 417</t>
  </si>
  <si>
    <t>Product 413</t>
  </si>
  <si>
    <t>Product 96</t>
  </si>
  <si>
    <t>Product 411</t>
  </si>
  <si>
    <t>Product 367</t>
  </si>
  <si>
    <t>Product 166</t>
  </si>
  <si>
    <t>Product 425</t>
  </si>
  <si>
    <t>Product 116</t>
  </si>
  <si>
    <t>Product 268</t>
  </si>
  <si>
    <t>Product 361</t>
  </si>
  <si>
    <t>Product 482</t>
  </si>
  <si>
    <t>Product 41</t>
  </si>
  <si>
    <t>Product 187</t>
  </si>
  <si>
    <t>Product 578</t>
  </si>
  <si>
    <t>Product 558</t>
  </si>
  <si>
    <t>Product 177</t>
  </si>
  <si>
    <t>Product 374</t>
  </si>
  <si>
    <t>Product 460</t>
  </si>
  <si>
    <t>Product 248</t>
  </si>
  <si>
    <t>Product 554</t>
  </si>
  <si>
    <t>Product 373</t>
  </si>
  <si>
    <t>Product 51</t>
  </si>
  <si>
    <t>Product 1</t>
  </si>
  <si>
    <t>Product 275</t>
  </si>
  <si>
    <t>Product 320</t>
  </si>
  <si>
    <t>Product 434</t>
  </si>
  <si>
    <t>Product 269</t>
  </si>
  <si>
    <t>Product 430</t>
  </si>
  <si>
    <t>Product 368</t>
  </si>
  <si>
    <t>Product 470</t>
  </si>
  <si>
    <t>Product 130</t>
  </si>
  <si>
    <t>Product 545</t>
  </si>
  <si>
    <t>Product 366</t>
  </si>
  <si>
    <t>Product 549</t>
  </si>
  <si>
    <t>Product 121</t>
  </si>
  <si>
    <t>Product 390</t>
  </si>
  <si>
    <t>Product 468</t>
  </si>
  <si>
    <t>Product 117</t>
  </si>
  <si>
    <t>Product 525</t>
  </si>
  <si>
    <t>Product 457</t>
  </si>
  <si>
    <t>Product 80</t>
  </si>
  <si>
    <t>Product 163</t>
  </si>
  <si>
    <t>Product 317</t>
  </si>
  <si>
    <t>Product 13</t>
  </si>
  <si>
    <t>Product 501</t>
  </si>
  <si>
    <t>Product 298</t>
  </si>
  <si>
    <t>Product 238</t>
  </si>
  <si>
    <t>Product 452</t>
  </si>
  <si>
    <t>Product 271</t>
  </si>
  <si>
    <t>Product 306</t>
  </si>
  <si>
    <t>Product 575</t>
  </si>
  <si>
    <t>Product 489</t>
  </si>
  <si>
    <t>Product 155</t>
  </si>
  <si>
    <t>Product 527</t>
  </si>
  <si>
    <t>Product 481</t>
  </si>
  <si>
    <t>Product 93</t>
  </si>
  <si>
    <t>Product 544</t>
  </si>
  <si>
    <t>Product 54</t>
  </si>
  <si>
    <t>Product 17</t>
  </si>
  <si>
    <t>Product 326</t>
  </si>
  <si>
    <t>Product 428</t>
  </si>
  <si>
    <t>Product 360</t>
  </si>
  <si>
    <t>Product 226</t>
  </si>
  <si>
    <t>Product 277</t>
  </si>
  <si>
    <t>Product 338</t>
  </si>
  <si>
    <t>Product 103</t>
  </si>
  <si>
    <t>Product 260</t>
  </si>
  <si>
    <t>Product 510</t>
  </si>
  <si>
    <t>Product 325</t>
  </si>
  <si>
    <t>Product 595</t>
  </si>
  <si>
    <t>Product 589</t>
  </si>
  <si>
    <t>Product 133</t>
  </si>
  <si>
    <t>Product 540</t>
  </si>
  <si>
    <t>Product 249</t>
  </si>
  <si>
    <t>Product 553</t>
  </si>
  <si>
    <t>Product 419</t>
  </si>
  <si>
    <t>Product 504</t>
  </si>
  <si>
    <t>Product 178</t>
  </si>
  <si>
    <t>Product 66</t>
  </si>
  <si>
    <t>Product 181</t>
  </si>
  <si>
    <t>Product 220</t>
  </si>
  <si>
    <t>Product 135</t>
  </si>
  <si>
    <t>Product 391</t>
  </si>
  <si>
    <t>Product 311</t>
  </si>
  <si>
    <t>Product 332</t>
  </si>
  <si>
    <t>Product 314</t>
  </si>
  <si>
    <t>Product 305</t>
  </si>
  <si>
    <t>Product 494</t>
  </si>
  <si>
    <t>Product 279</t>
  </si>
  <si>
    <t>Product 250</t>
  </si>
  <si>
    <t>Product 217</t>
  </si>
  <si>
    <t>Product 598</t>
  </si>
  <si>
    <t>Product 150</t>
  </si>
  <si>
    <t>Product 582</t>
  </si>
  <si>
    <t>Product 307</t>
  </si>
  <si>
    <t>Product 219</t>
  </si>
  <si>
    <t>Product 78</t>
  </si>
  <si>
    <t>Product 450</t>
  </si>
  <si>
    <t>Product 30</t>
  </si>
  <si>
    <t>Product 410</t>
  </si>
  <si>
    <t>Product 365</t>
  </si>
  <si>
    <t>Product 559</t>
  </si>
  <si>
    <t>Product 393</t>
  </si>
  <si>
    <t>Product 483</t>
  </si>
  <si>
    <t>Product 171</t>
  </si>
  <si>
    <t>Product 34</t>
  </si>
  <si>
    <t>Product 490</t>
  </si>
  <si>
    <t>Product 498</t>
  </si>
  <si>
    <t>Product 170</t>
  </si>
  <si>
    <t>Product 261</t>
  </si>
  <si>
    <t>Product 207</t>
  </si>
  <si>
    <t>Product 172</t>
  </si>
  <si>
    <t>Product 10</t>
  </si>
  <si>
    <t>Product 300</t>
  </si>
  <si>
    <t>Product 246</t>
  </si>
  <si>
    <t>Product 505</t>
  </si>
  <si>
    <t>Product 283</t>
  </si>
  <si>
    <t>Product 347</t>
  </si>
  <si>
    <t>Product 316</t>
  </si>
  <si>
    <t>Product 69</t>
  </si>
  <si>
    <t>Product 213</t>
  </si>
  <si>
    <t>Product 516</t>
  </si>
  <si>
    <t>Product 522</t>
  </si>
  <si>
    <t>Product 301</t>
  </si>
  <si>
    <t>Product 129</t>
  </si>
  <si>
    <t>Product 64</t>
  </si>
  <si>
    <t>Product 196</t>
  </si>
  <si>
    <t>Product 324</t>
  </si>
  <si>
    <t>Product 439</t>
  </si>
  <si>
    <t>Product 542</t>
  </si>
  <si>
    <t>Product 385</t>
  </si>
  <si>
    <t>Product 506</t>
  </si>
  <si>
    <t>Product 567</t>
  </si>
  <si>
    <t>Product 354</t>
  </si>
  <si>
    <t>Product 45</t>
  </si>
  <si>
    <t>Product 587</t>
  </si>
  <si>
    <t>Product 233</t>
  </si>
  <si>
    <t>Product 90</t>
  </si>
  <si>
    <t>Product 478</t>
  </si>
  <si>
    <t>Product 22</t>
  </si>
  <si>
    <t>Product 302</t>
  </si>
  <si>
    <t>Product 356</t>
  </si>
  <si>
    <t>Product 584</t>
  </si>
  <si>
    <t>Product 235</t>
  </si>
  <si>
    <t>Product 476</t>
  </si>
  <si>
    <t>Product 573</t>
  </si>
  <si>
    <t>Product 245</t>
  </si>
  <si>
    <t>Product 32</t>
  </si>
  <si>
    <t>Product 586</t>
  </si>
  <si>
    <t>Product 26</t>
  </si>
  <si>
    <t>Product 335</t>
  </si>
  <si>
    <t>Product 154</t>
  </si>
  <si>
    <t>Product 19</t>
  </si>
  <si>
    <t>Product 570</t>
  </si>
  <si>
    <t>Product 466</t>
  </si>
  <si>
    <t>Product 25</t>
  </si>
  <si>
    <t>Product 115</t>
  </si>
  <si>
    <t>Product 576</t>
  </si>
  <si>
    <t>Product 518</t>
  </si>
  <si>
    <t>Product 15</t>
  </si>
  <si>
    <t>Product 274</t>
  </si>
  <si>
    <t>Product 299</t>
  </si>
  <si>
    <t>Product 152</t>
  </si>
  <si>
    <t>Product 568</t>
  </si>
  <si>
    <t>Product 74</t>
  </si>
  <si>
    <t>Product 454</t>
  </si>
  <si>
    <t>Product 188</t>
  </si>
  <si>
    <t>Product 14</t>
  </si>
  <si>
    <t>Product 240</t>
  </si>
  <si>
    <t>Product 42</t>
  </si>
  <si>
    <t>Product 378</t>
  </si>
  <si>
    <t>Product 363</t>
  </si>
  <si>
    <t>Product 46</t>
  </si>
  <si>
    <t>Product 263</t>
  </si>
  <si>
    <t>Product 89</t>
  </si>
  <si>
    <t>Product 272</t>
  </si>
  <si>
    <t>Product 362</t>
  </si>
  <si>
    <t>Product 282</t>
  </si>
  <si>
    <t>Product 244</t>
  </si>
  <si>
    <t>Product 407</t>
  </si>
  <si>
    <t>Product 56</t>
  </si>
  <si>
    <t>Product 168</t>
  </si>
  <si>
    <t>Product 531</t>
  </si>
  <si>
    <t>Product 572</t>
  </si>
  <si>
    <t>Product 44</t>
  </si>
  <si>
    <t>Product 421</t>
  </si>
  <si>
    <t>Product 83</t>
  </si>
  <si>
    <t>Product 50</t>
  </si>
  <si>
    <t>Product 399</t>
  </si>
  <si>
    <t>Product 547</t>
  </si>
  <si>
    <t>Product 331</t>
  </si>
  <si>
    <t>Product 162</t>
  </si>
  <si>
    <t>Product 113</t>
  </si>
  <si>
    <t>Product 345</t>
  </si>
  <si>
    <t>Product 49</t>
  </si>
  <si>
    <t>Product 273</t>
  </si>
  <si>
    <t>Product 203</t>
  </si>
  <si>
    <t>Product 343</t>
  </si>
  <si>
    <t>Product 12</t>
  </si>
  <si>
    <t>Product 556</t>
  </si>
  <si>
    <t>Product 456</t>
  </si>
  <si>
    <t>Product 18</t>
  </si>
  <si>
    <t>Product 280</t>
  </si>
  <si>
    <t>Product 406</t>
  </si>
  <si>
    <t>Product 441</t>
  </si>
  <si>
    <t>Product 21</t>
  </si>
  <si>
    <t>Product 210</t>
  </si>
  <si>
    <t>Product 388</t>
  </si>
  <si>
    <t>Product 447</t>
  </si>
  <si>
    <t>Product 318</t>
  </si>
  <si>
    <t>Product 303</t>
  </si>
  <si>
    <t>Product 257</t>
  </si>
  <si>
    <t>Product 348</t>
  </si>
  <si>
    <t>Product 534</t>
  </si>
  <si>
    <t>Product 415</t>
  </si>
  <si>
    <t>Product 369</t>
  </si>
  <si>
    <t>Product 297</t>
  </si>
  <si>
    <t>Product 475</t>
  </si>
  <si>
    <t>Product 206</t>
  </si>
  <si>
    <t>Product 184</t>
  </si>
  <si>
    <t>Product 511</t>
  </si>
  <si>
    <t>Product 239</t>
  </si>
  <si>
    <t>Product 524</t>
  </si>
  <si>
    <t>Product 212</t>
  </si>
  <si>
    <t>Product 198</t>
  </si>
  <si>
    <t>Product 507</t>
  </si>
  <si>
    <t>Product 380</t>
  </si>
  <si>
    <t>Product 33</t>
  </si>
  <si>
    <t>Product 253</t>
  </si>
  <si>
    <t>Product 448</t>
  </si>
  <si>
    <t>Product 471</t>
  </si>
  <si>
    <t>Product 405</t>
  </si>
  <si>
    <t>Product 222</t>
  </si>
  <si>
    <t>Product 118</t>
  </si>
  <si>
    <t>Product 137</t>
  </si>
  <si>
    <t>Product 84</t>
  </si>
  <si>
    <t>Product 590</t>
  </si>
  <si>
    <t>Product 204</t>
  </si>
  <si>
    <t>Product 182</t>
  </si>
  <si>
    <t>Product 473</t>
  </si>
  <si>
    <t>Product 266</t>
  </si>
  <si>
    <t>Product 420</t>
  </si>
  <si>
    <t>Product 322</t>
  </si>
  <si>
    <t>Product 465</t>
  </si>
  <si>
    <t>Product 192</t>
  </si>
  <si>
    <t>Product 402</t>
  </si>
  <si>
    <t>Product 583</t>
  </si>
  <si>
    <t>Product 255</t>
  </si>
  <si>
    <t>Product 31</t>
  </si>
  <si>
    <t>Product 16</t>
  </si>
  <si>
    <t>Product 139</t>
  </si>
  <si>
    <t>Product 104</t>
  </si>
  <si>
    <t>Product 517</t>
  </si>
  <si>
    <t>Product 477</t>
  </si>
  <si>
    <t>Product 58</t>
  </si>
  <si>
    <t>Product 541</t>
  </si>
  <si>
    <t>Product 256</t>
  </si>
  <si>
    <t>Product 124</t>
  </si>
  <si>
    <t>Product 142</t>
  </si>
  <si>
    <t>Product 350</t>
  </si>
  <si>
    <t>Product 146</t>
  </si>
  <si>
    <t>Product 209</t>
  </si>
  <si>
    <t>Product 315</t>
  </si>
  <si>
    <t>Product 6</t>
  </si>
  <si>
    <t>Product 431</t>
  </si>
  <si>
    <t>Product 371</t>
  </si>
  <si>
    <t>Product 94</t>
  </si>
  <si>
    <t>Product 398</t>
  </si>
  <si>
    <t>Product 579</t>
  </si>
  <si>
    <t>Product 493</t>
  </si>
  <si>
    <t>Product 122</t>
  </si>
  <si>
    <t>Product 310</t>
  </si>
  <si>
    <t>Product 591</t>
  </si>
  <si>
    <t>Product 379</t>
  </si>
  <si>
    <t>Product 20</t>
  </si>
  <si>
    <t>Product 552</t>
  </si>
  <si>
    <t>Product 91</t>
  </si>
  <si>
    <t>Product 3</t>
  </si>
  <si>
    <t>Product 296</t>
  </si>
  <si>
    <t>Product 474</t>
  </si>
  <si>
    <t>Product 309</t>
  </si>
  <si>
    <t>Product 167</t>
  </si>
  <si>
    <t>Product 562</t>
  </si>
  <si>
    <t>Product 339</t>
  </si>
  <si>
    <t>Product 330</t>
  </si>
  <si>
    <t>Product 11</t>
  </si>
  <si>
    <t>Product 202</t>
  </si>
  <si>
    <t>Product 418</t>
  </si>
  <si>
    <t>Product 148</t>
  </si>
  <si>
    <t>Product 134</t>
  </si>
  <si>
    <t>Product 247</t>
  </si>
  <si>
    <t>Product 120</t>
  </si>
  <si>
    <t>Product 444</t>
  </si>
  <si>
    <t>Product 193</t>
  </si>
  <si>
    <t>Product 512</t>
  </si>
  <si>
    <t>Product 563</t>
  </si>
  <si>
    <t>Product 232</t>
  </si>
  <si>
    <t>Product 528</t>
  </si>
  <si>
    <t>Product 57</t>
  </si>
  <si>
    <t>Product 352</t>
  </si>
  <si>
    <t>Product 185</t>
  </si>
  <si>
    <t>Product 455</t>
  </si>
  <si>
    <t>Product 485</t>
  </si>
  <si>
    <t>Product 500</t>
  </si>
  <si>
    <t>Product 535</t>
  </si>
  <si>
    <t>Product 270</t>
  </si>
  <si>
    <t>Product 27</t>
  </si>
  <si>
    <t>Product 426</t>
  </si>
  <si>
    <t>Product 234</t>
  </si>
  <si>
    <t>Product 231</t>
  </si>
  <si>
    <t>Product 75</t>
  </si>
  <si>
    <t>Product 23</t>
  </si>
  <si>
    <t>Product 262</t>
  </si>
  <si>
    <t>Product 492</t>
  </si>
  <si>
    <t>Product 592</t>
  </si>
  <si>
    <t>Product 186</t>
  </si>
  <si>
    <t>Product 593</t>
  </si>
  <si>
    <t>Product 538</t>
  </si>
  <si>
    <t>Product 215</t>
  </si>
  <si>
    <t>Product 290</t>
  </si>
  <si>
    <t>Product 211</t>
  </si>
  <si>
    <t>Product 293</t>
  </si>
  <si>
    <t>Product 574</t>
  </si>
  <si>
    <t>Product 88</t>
  </si>
  <si>
    <t>Product 151</t>
  </si>
  <si>
    <t>Product 463</t>
  </si>
  <si>
    <t>Product 487</t>
  </si>
  <si>
    <t>Product 52</t>
  </si>
  <si>
    <t>Product 77</t>
  </si>
  <si>
    <t>Product 92</t>
  </si>
  <si>
    <t>Product 8</t>
  </si>
  <si>
    <t>Product 403</t>
  </si>
  <si>
    <t>Product 599</t>
  </si>
  <si>
    <t>Product 9</t>
  </si>
  <si>
    <t>Product 529</t>
  </si>
  <si>
    <t>Product 161</t>
  </si>
  <si>
    <t>Product 267</t>
  </si>
  <si>
    <t>Product 169</t>
  </si>
  <si>
    <t>Product 515</t>
  </si>
  <si>
    <t>Product 453</t>
  </si>
  <si>
    <t>Product 451</t>
  </si>
  <si>
    <t>Product 479</t>
  </si>
  <si>
    <t>Product 588</t>
  </si>
  <si>
    <t>Product 63</t>
  </si>
  <si>
    <t>Product 37</t>
  </si>
  <si>
    <t>Product 2</t>
  </si>
  <si>
    <t>Product 278</t>
  </si>
  <si>
    <t>Product 100</t>
  </si>
  <si>
    <t>Product 85</t>
  </si>
  <si>
    <t>Product 394</t>
  </si>
  <si>
    <t>Product 264</t>
  </si>
  <si>
    <t>Product 119</t>
  </si>
  <si>
    <t>Product 288</t>
  </si>
  <si>
    <t>Product 183</t>
  </si>
  <si>
    <t>Product 127</t>
  </si>
  <si>
    <t>Product 221</t>
  </si>
  <si>
    <t>Product 499</t>
  </si>
  <si>
    <t>Product 48</t>
  </si>
  <si>
    <t>Product 109</t>
  </si>
  <si>
    <t>Product 149</t>
  </si>
  <si>
    <t>Product 560</t>
  </si>
  <si>
    <t>Product 97</t>
  </si>
  <si>
    <t>Product 532</t>
  </si>
  <si>
    <t>Product 295</t>
  </si>
  <si>
    <t>Product 491</t>
  </si>
  <si>
    <t>Product 355</t>
  </si>
  <si>
    <t>Product 397</t>
  </si>
  <si>
    <t>Product 179</t>
  </si>
  <si>
    <t>Product 389</t>
  </si>
  <si>
    <t>Product 35</t>
  </si>
  <si>
    <t>Product 523</t>
  </si>
  <si>
    <t>Product 200</t>
  </si>
  <si>
    <t>Product 533</t>
  </si>
  <si>
    <t>Product 227</t>
  </si>
  <si>
    <t>Product 141</t>
  </si>
  <si>
    <t>Product 140</t>
  </si>
  <si>
    <t>Product 218</t>
  </si>
  <si>
    <t>Product 564</t>
  </si>
  <si>
    <t>Product 349</t>
  </si>
  <si>
    <t>Product 571</t>
  </si>
  <si>
    <t>Product 237</t>
  </si>
  <si>
    <t>Product 424</t>
  </si>
  <si>
    <t>Product 160</t>
  </si>
  <si>
    <t>Product 228</t>
  </si>
  <si>
    <t>Product 459</t>
  </si>
  <si>
    <t>Product 469</t>
  </si>
  <si>
    <t>Product 284</t>
  </si>
  <si>
    <t>Product 65</t>
  </si>
  <si>
    <t>Product 180</t>
  </si>
  <si>
    <t>Product 47</t>
  </si>
  <si>
    <t>Product 157</t>
  </si>
  <si>
    <t>Product 376</t>
  </si>
  <si>
    <t>Product 242</t>
  </si>
  <si>
    <t>Product 102</t>
  </si>
  <si>
    <t>Product 173</t>
  </si>
  <si>
    <t>Product 409</t>
  </si>
  <si>
    <t>Product 414</t>
  </si>
  <si>
    <t>Product 223</t>
  </si>
  <si>
    <t>Product 446</t>
  </si>
  <si>
    <t>Product 467</t>
  </si>
  <si>
    <t>Product 513</t>
  </si>
  <si>
    <t>Product 577</t>
  </si>
  <si>
    <t>Product 408</t>
  </si>
  <si>
    <t>Product 596</t>
  </si>
  <si>
    <t>Product 230</t>
  </si>
  <si>
    <t>Product 29</t>
  </si>
  <si>
    <t>Product 396</t>
  </si>
  <si>
    <t>Product 400</t>
  </si>
  <si>
    <t>Product 480</t>
  </si>
  <si>
    <t>Product 304</t>
  </si>
  <si>
    <t>Product 60</t>
  </si>
  <si>
    <t>Product 440</t>
  </si>
  <si>
    <t>Product 123</t>
  </si>
  <si>
    <t>Product 291</t>
  </si>
  <si>
    <t>Product 521</t>
  </si>
  <si>
    <t>Product 159</t>
  </si>
  <si>
    <t>Product 5</t>
  </si>
  <si>
    <t>Product 381</t>
  </si>
  <si>
    <t>Product 197</t>
  </si>
  <si>
    <t>Product 502</t>
  </si>
  <si>
    <t>Product 319</t>
  </si>
  <si>
    <t>Product 62</t>
  </si>
  <si>
    <t>Product 4</t>
  </si>
  <si>
    <t>Product 364</t>
  </si>
  <si>
    <t>Product 503</t>
  </si>
  <si>
    <t>Product 509</t>
  </si>
  <si>
    <t>Product 519</t>
  </si>
  <si>
    <t>Product 132</t>
  </si>
  <si>
    <t>Product 243</t>
  </si>
  <si>
    <t>Product 308</t>
  </si>
  <si>
    <t>Product 341</t>
  </si>
  <si>
    <t>Product 336</t>
  </si>
  <si>
    <t>Product 337</t>
  </si>
  <si>
    <t>Product 195</t>
  </si>
  <si>
    <t>Product 442</t>
  </si>
  <si>
    <t>Product 229</t>
  </si>
  <si>
    <t>Product 351</t>
  </si>
  <si>
    <t>Product 520</t>
  </si>
  <si>
    <t>Product 107</t>
  </si>
  <si>
    <t>Sum of Sales</t>
  </si>
  <si>
    <t>Sum of Profit</t>
  </si>
  <si>
    <t>Sum of Quantity</t>
  </si>
  <si>
    <t>Count of Order ID</t>
  </si>
  <si>
    <t>Average of Discount</t>
  </si>
  <si>
    <t>Sum of Profit %</t>
  </si>
  <si>
    <t>Row Labels</t>
  </si>
  <si>
    <t>Grand Total</t>
  </si>
  <si>
    <t>Jan</t>
  </si>
  <si>
    <t>Feb</t>
  </si>
  <si>
    <t>Mar</t>
  </si>
  <si>
    <t>Apr</t>
  </si>
  <si>
    <t>May</t>
  </si>
  <si>
    <t>Jun</t>
  </si>
  <si>
    <t>Jul</t>
  </si>
  <si>
    <t>Aug</t>
  </si>
  <si>
    <t>Sep</t>
  </si>
  <si>
    <t>Oct</t>
  </si>
  <si>
    <t>Nov</t>
  </si>
  <si>
    <t>Dec</t>
  </si>
  <si>
    <t>values for display</t>
  </si>
  <si>
    <t>Orders</t>
  </si>
  <si>
    <t>Amount</t>
  </si>
  <si>
    <t>Profit %</t>
  </si>
  <si>
    <t>Avg of Discount in %</t>
  </si>
  <si>
    <t>Arizona</t>
  </si>
  <si>
    <t>California</t>
  </si>
  <si>
    <t>Colorado</t>
  </si>
  <si>
    <t>Florida</t>
  </si>
  <si>
    <t>Georgia</t>
  </si>
  <si>
    <t>Illinois</t>
  </si>
  <si>
    <t>Texas</t>
  </si>
  <si>
    <t>Washington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</si>
</sst>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0.00,,&quot;M&quot;"/>
  </numFmts>
  <fonts count="5" x14ac:knownFonts="1">
    <font>
      <sz val="11"/>
      <color theme="1"/>
      <name val="Tw Cen MT"/>
      <family val="2"/>
      <scheme val="minor"/>
    </font>
    <font>
      <b/>
      <sz val="11"/>
      <color theme="0"/>
      <name val="Tw Cen MT"/>
      <family val="2"/>
      <scheme val="minor"/>
    </font>
    <font>
      <b/>
      <sz val="11"/>
      <color theme="1"/>
      <name val="Tw Cen MT"/>
      <family val="2"/>
      <scheme val="minor"/>
    </font>
    <font>
      <sz val="11"/>
      <color theme="1"/>
      <name val="Tw Cen MT"/>
      <family val="2"/>
      <scheme val="minor"/>
    </font>
    <font>
      <sz val="8"/>
      <name val="Tw Cen MT"/>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9">
    <border>
      <left/>
      <right/>
      <top/>
      <bottom/>
      <diagonal/>
    </border>
    <border>
      <left style="thin">
        <color auto="1"/>
      </left>
      <right/>
      <top style="thin">
        <color auto="1"/>
      </top>
      <bottom/>
      <diagonal/>
    </border>
    <border>
      <left style="thin">
        <color auto="1"/>
      </left>
      <right/>
      <top/>
      <bottom/>
      <diagonal/>
    </border>
    <border>
      <left style="thin">
        <color auto="1"/>
      </left>
      <right style="thin">
        <color auto="1"/>
      </right>
      <top style="thin">
        <color auto="1"/>
      </top>
      <bottom/>
      <diagonal/>
    </border>
    <border>
      <left/>
      <right/>
      <top style="thin">
        <color auto="1"/>
      </top>
      <bottom/>
      <diagonal/>
    </border>
    <border>
      <left style="thin">
        <color theme="0"/>
      </left>
      <right/>
      <top style="thin">
        <color auto="1"/>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right/>
      <top style="thin">
        <color theme="4" tint="0.39997558519241921"/>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4" fontId="3" fillId="0" borderId="0" applyFont="0" applyFill="0" applyBorder="0" applyAlignment="0" applyProtection="0"/>
  </cellStyleXfs>
  <cellXfs count="42">
    <xf numFmtId="0" fontId="0" fillId="0" borderId="0" xfId="0"/>
    <xf numFmtId="0" fontId="1" fillId="2" borderId="1" xfId="0" applyFont="1" applyFill="1" applyBorder="1" applyAlignment="1">
      <alignment horizontal="center" vertical="center"/>
    </xf>
    <xf numFmtId="0" fontId="1" fillId="2" borderId="3" xfId="0" applyFont="1" applyFill="1" applyBorder="1" applyAlignment="1">
      <alignment horizontal="center" vertical="center"/>
    </xf>
    <xf numFmtId="0" fontId="0" fillId="3" borderId="4" xfId="0" applyFill="1" applyBorder="1" applyAlignment="1">
      <alignment vertical="center"/>
    </xf>
    <xf numFmtId="0" fontId="0" fillId="3" borderId="5" xfId="0" applyFill="1" applyBorder="1" applyAlignment="1">
      <alignment vertical="center"/>
    </xf>
    <xf numFmtId="0" fontId="0" fillId="4" borderId="7" xfId="0" applyFill="1" applyBorder="1" applyAlignment="1">
      <alignment vertical="center"/>
    </xf>
    <xf numFmtId="0" fontId="0" fillId="4" borderId="8" xfId="0" applyFill="1" applyBorder="1" applyAlignment="1">
      <alignment vertical="center"/>
    </xf>
    <xf numFmtId="0" fontId="0" fillId="3" borderId="7" xfId="0" applyFill="1" applyBorder="1" applyAlignment="1">
      <alignment vertical="center"/>
    </xf>
    <xf numFmtId="0" fontId="0" fillId="3" borderId="8" xfId="0" applyFill="1" applyBorder="1" applyAlignment="1">
      <alignment vertical="center"/>
    </xf>
    <xf numFmtId="14" fontId="1" fillId="2" borderId="2" xfId="0" applyNumberFormat="1" applyFont="1" applyFill="1" applyBorder="1" applyAlignment="1">
      <alignment horizontal="center" vertical="center"/>
    </xf>
    <xf numFmtId="14" fontId="0" fillId="3" borderId="5" xfId="0" applyNumberFormat="1" applyFill="1" applyBorder="1" applyAlignment="1">
      <alignment horizontal="center" vertical="center"/>
    </xf>
    <xf numFmtId="14" fontId="0" fillId="3" borderId="6" xfId="0" applyNumberFormat="1" applyFill="1" applyBorder="1" applyAlignment="1">
      <alignment horizontal="center" vertical="center"/>
    </xf>
    <xf numFmtId="14" fontId="0" fillId="4" borderId="8" xfId="0" applyNumberFormat="1" applyFill="1" applyBorder="1" applyAlignment="1">
      <alignment horizontal="center" vertical="center"/>
    </xf>
    <xf numFmtId="14" fontId="0" fillId="3" borderId="8" xfId="0" applyNumberFormat="1" applyFill="1" applyBorder="1" applyAlignment="1">
      <alignment horizontal="center" vertical="center"/>
    </xf>
    <xf numFmtId="0" fontId="0" fillId="3" borderId="5" xfId="0" applyFill="1" applyBorder="1" applyAlignment="1">
      <alignment horizontal="center" vertical="center"/>
    </xf>
    <xf numFmtId="0" fontId="0" fillId="4" borderId="8" xfId="0" applyFill="1" applyBorder="1" applyAlignment="1">
      <alignment horizontal="center" vertical="center"/>
    </xf>
    <xf numFmtId="0" fontId="0" fillId="3" borderId="8" xfId="0" applyFill="1" applyBorder="1" applyAlignment="1">
      <alignment horizontal="center" vertical="center"/>
    </xf>
    <xf numFmtId="10" fontId="0" fillId="0" borderId="0" xfId="0" applyNumberFormat="1"/>
    <xf numFmtId="10" fontId="1" fillId="2" borderId="1" xfId="0" applyNumberFormat="1" applyFont="1" applyFill="1" applyBorder="1" applyAlignment="1">
      <alignment horizontal="center" vertical="center"/>
    </xf>
    <xf numFmtId="10" fontId="0" fillId="3" borderId="5" xfId="0" applyNumberFormat="1" applyFill="1" applyBorder="1" applyAlignment="1">
      <alignment horizontal="center" vertical="center"/>
    </xf>
    <xf numFmtId="10" fontId="0" fillId="4" borderId="8" xfId="0" applyNumberFormat="1" applyFill="1" applyBorder="1" applyAlignment="1">
      <alignment horizontal="center" vertical="center"/>
    </xf>
    <xf numFmtId="10" fontId="0" fillId="3" borderId="8" xfId="0" applyNumberFormat="1" applyFill="1" applyBorder="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0" fontId="2" fillId="0" borderId="0" xfId="0" applyFont="1" applyAlignment="1">
      <alignment horizontal="center" vertical="center"/>
    </xf>
    <xf numFmtId="3" fontId="0" fillId="0" borderId="0" xfId="0" applyNumberFormat="1" applyAlignment="1">
      <alignment horizontal="center" vertical="center"/>
    </xf>
    <xf numFmtId="10" fontId="0" fillId="0" borderId="0" xfId="0" applyNumberFormat="1" applyAlignment="1">
      <alignment horizontal="center"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2" fillId="4" borderId="9" xfId="0" applyFont="1" applyFill="1" applyBorder="1" applyAlignment="1">
      <alignment horizontal="left"/>
    </xf>
    <xf numFmtId="0" fontId="2" fillId="0" borderId="0" xfId="0" applyFont="1" applyAlignment="1">
      <alignment horizontal="center" vertical="center" wrapText="1"/>
    </xf>
    <xf numFmtId="0" fontId="0" fillId="0" borderId="0" xfId="0" applyAlignment="1">
      <alignment vertical="center" wrapText="1"/>
    </xf>
    <xf numFmtId="164" fontId="2" fillId="0" borderId="0" xfId="1" applyNumberFormat="1" applyFont="1" applyAlignment="1">
      <alignment horizontal="center" vertical="center"/>
    </xf>
    <xf numFmtId="0" fontId="0" fillId="0" borderId="0" xfId="0" applyNumberFormat="1"/>
  </cellXfs>
  <cellStyles count="2">
    <cellStyle name="Currency" xfId="1" builtinId="4"/>
    <cellStyle name="Normal" xfId="0" builtinId="0"/>
  </cellStyles>
  <dxfs count="7">
    <dxf>
      <numFmt numFmtId="14" formatCode="0.00%"/>
    </dxf>
    <dxf>
      <numFmt numFmtId="14" formatCode="0.00%"/>
    </dxf>
    <dxf>
      <numFmt numFmtId="14" formatCode="0.00%"/>
    </dxf>
    <dxf>
      <numFmt numFmtId="14" formatCode="0.00%"/>
    </dxf>
    <dxf>
      <numFmt numFmtId="2" formatCode="0.00"/>
    </dxf>
    <dxf>
      <numFmt numFmtId="14" formatCode="0.00%"/>
    </dxf>
    <dxf>
      <numFmt numFmtId="14" formatCode="0.00%"/>
    </dxf>
  </dxfs>
  <tableStyles count="0" defaultTableStyle="TableStyleMedium9" defaultPivotStyle="PivotStyleLight16"/>
  <colors>
    <mruColors>
      <color rgb="FF0A558C"/>
      <color rgb="FF009FB7"/>
      <color rgb="FF00C6A7"/>
      <color rgb="FF004E63"/>
      <color rgb="FFBEE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Project.xlsx]Pivots!Sales Trend Over Time</c:name>
    <c:fmtId val="86"/>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Trend Over Time</a:t>
            </a:r>
            <a:endParaRPr lang="en-US" b="1"/>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tx1">
                <a:lumMod val="95000"/>
                <a:lumOff val="5000"/>
              </a:schemeClr>
            </a:solidFill>
            <a:round/>
          </a:ln>
          <a:effectLst/>
        </c:spPr>
        <c:marker>
          <c:symbol val="squar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lumMod val="95000"/>
                <a:lumOff val="5000"/>
              </a:schemeClr>
            </a:solidFill>
            <a:round/>
          </a:ln>
          <a:effectLst/>
        </c:spPr>
        <c:marker>
          <c:symbol val="squar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95000"/>
                <a:lumOff val="5000"/>
              </a:schemeClr>
            </a:solidFill>
            <a:round/>
          </a:ln>
          <a:effectLst/>
        </c:spPr>
        <c:marker>
          <c:symbol val="squar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7853461695407"/>
          <c:y val="0.23746456692913387"/>
          <c:w val="0.78979430834101594"/>
          <c:h val="0.59512992125984254"/>
        </c:manualLayout>
      </c:layout>
      <c:lineChart>
        <c:grouping val="standard"/>
        <c:varyColors val="0"/>
        <c:ser>
          <c:idx val="0"/>
          <c:order val="0"/>
          <c:tx>
            <c:strRef>
              <c:f>Pivots!$B$6</c:f>
              <c:strCache>
                <c:ptCount val="1"/>
                <c:pt idx="0">
                  <c:v>Total</c:v>
                </c:pt>
              </c:strCache>
            </c:strRef>
          </c:tx>
          <c:spPr>
            <a:ln w="28575" cap="rnd">
              <a:solidFill>
                <a:schemeClr val="tx1">
                  <a:lumMod val="95000"/>
                  <a:lumOff val="5000"/>
                </a:schemeClr>
              </a:solidFill>
              <a:round/>
            </a:ln>
            <a:effectLst/>
          </c:spPr>
          <c:marker>
            <c:symbol val="square"/>
            <c:size val="7"/>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Pivots!$A$7:$A$19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Pivots!$B$7:$B$19</c:f>
              <c:numCache>
                <c:formatCode>General</c:formatCode>
                <c:ptCount val="12"/>
                <c:pt idx="0">
                  <c:v>217503.65</c:v>
                </c:pt>
                <c:pt idx="1">
                  <c:v>199150.72999999998</c:v>
                </c:pt>
                <c:pt idx="2">
                  <c:v>230005.28000000012</c:v>
                </c:pt>
                <c:pt idx="3">
                  <c:v>179290.24000000011</c:v>
                </c:pt>
                <c:pt idx="4">
                  <c:v>195077.62999999992</c:v>
                </c:pt>
                <c:pt idx="5">
                  <c:v>203285.95</c:v>
                </c:pt>
                <c:pt idx="6">
                  <c:v>215857.19000000003</c:v>
                </c:pt>
                <c:pt idx="7">
                  <c:v>214635.61</c:v>
                </c:pt>
                <c:pt idx="8">
                  <c:v>196953.02</c:v>
                </c:pt>
                <c:pt idx="9">
                  <c:v>222550.34000000008</c:v>
                </c:pt>
                <c:pt idx="10">
                  <c:v>186741.72000000003</c:v>
                </c:pt>
                <c:pt idx="11">
                  <c:v>224816.77000000011</c:v>
                </c:pt>
              </c:numCache>
            </c:numRef>
          </c:val>
          <c:smooth val="0"/>
          <c:extLst>
            <c:ext xmlns:c16="http://schemas.microsoft.com/office/drawing/2014/chart" uri="{C3380CC4-5D6E-409C-BE32-E72D297353CC}">
              <c16:uniqueId val="{00000000-D079-4BCC-A75D-C55F78D11459}"/>
            </c:ext>
          </c:extLst>
        </c:ser>
        <c:dLbls>
          <c:showLegendKey val="0"/>
          <c:showVal val="0"/>
          <c:showCatName val="0"/>
          <c:showSerName val="0"/>
          <c:showPercent val="0"/>
          <c:showBubbleSize val="0"/>
        </c:dLbls>
        <c:marker val="1"/>
        <c:smooth val="0"/>
        <c:axId val="1355100831"/>
        <c:axId val="1355104671"/>
      </c:lineChart>
      <c:catAx>
        <c:axId val="135510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a:outerShdw blurRad="50800" dist="50800" dir="5400000" sx="3000" sy="3000" algn="ctr" rotWithShape="0">
              <a:srgbClr val="000000">
                <a:alpha val="43137"/>
              </a:srgbClr>
            </a:outerShdw>
          </a:effectLst>
        </c:spPr>
        <c:txPr>
          <a:bodyPr rot="-60000000" spcFirstLastPara="1" vertOverflow="ellipsis" vert="horz" wrap="square" anchor="ctr" anchorCtr="1"/>
          <a:lstStyle/>
          <a:p>
            <a:pPr>
              <a:defRPr sz="800" b="1" i="0" u="none" strike="noStrike" kern="1200" baseline="0">
                <a:solidFill>
                  <a:srgbClr val="0A558C"/>
                </a:solidFill>
                <a:latin typeface="Segoe UI" panose="020B0502040204020203" pitchFamily="34" charset="0"/>
                <a:ea typeface="+mn-ea"/>
                <a:cs typeface="Segoe UI" panose="020B0502040204020203" pitchFamily="34" charset="0"/>
              </a:defRPr>
            </a:pPr>
            <a:endParaRPr lang="en-US"/>
          </a:p>
        </c:txPr>
        <c:crossAx val="1355104671"/>
        <c:crosses val="autoZero"/>
        <c:auto val="1"/>
        <c:lblAlgn val="ctr"/>
        <c:lblOffset val="100"/>
        <c:noMultiLvlLbl val="0"/>
      </c:catAx>
      <c:valAx>
        <c:axId val="1355104671"/>
        <c:scaling>
          <c:orientation val="minMax"/>
        </c:scaling>
        <c:delete val="0"/>
        <c:axPos val="l"/>
        <c:majorGridlines>
          <c:spPr>
            <a:ln w="9525" cap="flat" cmpd="sng" algn="ctr">
              <a:solidFill>
                <a:schemeClr val="bg1">
                  <a:lumMod val="85000"/>
                  <a:alpha val="59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35510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Project.xlsx]Pivots!Sales by Category</c:name>
    <c:fmtId val="3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04E63"/>
                </a:solidFill>
              </a:rPr>
              <a:t>Sales by Category</a:t>
            </a:r>
            <a:endParaRPr lang="en-US" b="1">
              <a:solidFill>
                <a:srgbClr val="004E63"/>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9FB7"/>
          </a:solidFill>
          <a:ln>
            <a:noFill/>
          </a:ln>
          <a:effectLst/>
        </c:spPr>
      </c:pivotFmt>
      <c:pivotFmt>
        <c:idx val="4"/>
        <c:spPr>
          <a:solidFill>
            <a:srgbClr val="0A558C"/>
          </a:solidFill>
          <a:ln>
            <a:noFill/>
          </a:ln>
          <a:effectLst/>
        </c:spPr>
      </c:pivotFmt>
      <c:pivotFmt>
        <c:idx val="5"/>
        <c:spPr>
          <a:solidFill>
            <a:srgbClr val="00C6A7"/>
          </a:solidFill>
          <a:ln>
            <a:noFill/>
          </a:ln>
          <a:effectLst/>
        </c:spPr>
      </c:pivotFmt>
    </c:pivotFmts>
    <c:plotArea>
      <c:layout/>
      <c:barChart>
        <c:barDir val="col"/>
        <c:grouping val="clustered"/>
        <c:varyColors val="1"/>
        <c:ser>
          <c:idx val="0"/>
          <c:order val="0"/>
          <c:tx>
            <c:strRef>
              <c:f>Pivots!$E$6</c:f>
              <c:strCache>
                <c:ptCount val="1"/>
                <c:pt idx="0">
                  <c:v>Total</c:v>
                </c:pt>
              </c:strCache>
            </c:strRef>
          </c:tx>
          <c:invertIfNegative val="0"/>
          <c:dPt>
            <c:idx val="0"/>
            <c:invertIfNegative val="0"/>
            <c:bubble3D val="0"/>
            <c:spPr>
              <a:solidFill>
                <a:srgbClr val="0A558C"/>
              </a:solidFill>
              <a:ln>
                <a:noFill/>
              </a:ln>
              <a:effectLst/>
            </c:spPr>
            <c:extLst>
              <c:ext xmlns:c16="http://schemas.microsoft.com/office/drawing/2014/chart" uri="{C3380CC4-5D6E-409C-BE32-E72D297353CC}">
                <c16:uniqueId val="{00000002-5EC9-4BC3-93C2-B094FB24DDA1}"/>
              </c:ext>
            </c:extLst>
          </c:dPt>
          <c:dPt>
            <c:idx val="1"/>
            <c:invertIfNegative val="0"/>
            <c:bubble3D val="0"/>
            <c:spPr>
              <a:solidFill>
                <a:srgbClr val="009FB7"/>
              </a:solidFill>
              <a:ln>
                <a:noFill/>
              </a:ln>
              <a:effectLst/>
            </c:spPr>
            <c:extLst>
              <c:ext xmlns:c16="http://schemas.microsoft.com/office/drawing/2014/chart" uri="{C3380CC4-5D6E-409C-BE32-E72D297353CC}">
                <c16:uniqueId val="{00000001-5EC9-4BC3-93C2-B094FB24DDA1}"/>
              </c:ext>
            </c:extLst>
          </c:dPt>
          <c:dPt>
            <c:idx val="2"/>
            <c:invertIfNegative val="0"/>
            <c:bubble3D val="0"/>
            <c:spPr>
              <a:solidFill>
                <a:srgbClr val="00C6A7"/>
              </a:solidFill>
              <a:ln>
                <a:noFill/>
              </a:ln>
              <a:effectLst/>
            </c:spPr>
            <c:extLst>
              <c:ext xmlns:c16="http://schemas.microsoft.com/office/drawing/2014/chart" uri="{C3380CC4-5D6E-409C-BE32-E72D297353CC}">
                <c16:uniqueId val="{00000003-5EC9-4BC3-93C2-B094FB24DDA1}"/>
              </c:ext>
            </c:extLst>
          </c:dPt>
          <c:cat>
            <c:strRef>
              <c:f>Pivots!$D$7:$D$10</c:f>
              <c:strCache>
                <c:ptCount val="3"/>
                <c:pt idx="0">
                  <c:v>Furniture</c:v>
                </c:pt>
                <c:pt idx="1">
                  <c:v>Office Supplies</c:v>
                </c:pt>
                <c:pt idx="2">
                  <c:v>Technology</c:v>
                </c:pt>
              </c:strCache>
            </c:strRef>
          </c:cat>
          <c:val>
            <c:numRef>
              <c:f>Pivots!$E$7:$E$10</c:f>
              <c:numCache>
                <c:formatCode>General</c:formatCode>
                <c:ptCount val="3"/>
                <c:pt idx="0">
                  <c:v>797729.82999999961</c:v>
                </c:pt>
                <c:pt idx="1">
                  <c:v>797757.2900000005</c:v>
                </c:pt>
                <c:pt idx="2">
                  <c:v>890381.01000000013</c:v>
                </c:pt>
              </c:numCache>
            </c:numRef>
          </c:val>
          <c:extLst>
            <c:ext xmlns:c16="http://schemas.microsoft.com/office/drawing/2014/chart" uri="{C3380CC4-5D6E-409C-BE32-E72D297353CC}">
              <c16:uniqueId val="{00000000-5EC9-4BC3-93C2-B094FB24DDA1}"/>
            </c:ext>
          </c:extLst>
        </c:ser>
        <c:dLbls>
          <c:showLegendKey val="0"/>
          <c:showVal val="0"/>
          <c:showCatName val="0"/>
          <c:showSerName val="0"/>
          <c:showPercent val="0"/>
          <c:showBubbleSize val="0"/>
        </c:dLbls>
        <c:gapWidth val="150"/>
        <c:overlap val="-37"/>
        <c:axId val="698341199"/>
        <c:axId val="698342639"/>
      </c:barChart>
      <c:catAx>
        <c:axId val="69834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004E63"/>
                </a:solidFill>
                <a:latin typeface="Segoe UI" panose="020B0502040204020203" pitchFamily="34" charset="0"/>
                <a:ea typeface="+mn-ea"/>
                <a:cs typeface="Segoe UI" panose="020B0502040204020203" pitchFamily="34" charset="0"/>
              </a:defRPr>
            </a:pPr>
            <a:endParaRPr lang="en-US"/>
          </a:p>
        </c:txPr>
        <c:crossAx val="698342639"/>
        <c:crossesAt val="750000"/>
        <c:auto val="1"/>
        <c:lblAlgn val="ctr"/>
        <c:lblOffset val="100"/>
        <c:noMultiLvlLbl val="0"/>
      </c:catAx>
      <c:valAx>
        <c:axId val="698342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69834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Project.xlsx]Pivots!Profit by Sub-Category</c:name>
    <c:fmtId val="16"/>
  </c:pivotSource>
  <c:chart>
    <c:title>
      <c:tx>
        <c:rich>
          <a:bodyPr rot="0" spcFirstLastPara="1" vertOverflow="ellipsis" vert="horz" wrap="square" anchor="ctr" anchorCtr="1"/>
          <a:lstStyle/>
          <a:p>
            <a:pPr>
              <a:defRPr sz="13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IN" sz="1300">
                <a:latin typeface="Segoe UI" panose="020B0502040204020203" pitchFamily="34" charset="0"/>
                <a:cs typeface="Segoe UI" panose="020B0502040204020203" pitchFamily="34" charset="0"/>
              </a:rPr>
              <a:t>Sub-Categories by Profit</a:t>
            </a:r>
            <a:endParaRPr lang="en-US" sz="1300">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3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690190796857461E-2"/>
          <c:y val="0.1539917695473251"/>
          <c:w val="0.7045534455667789"/>
          <c:h val="0.70749300189941966"/>
        </c:manualLayout>
      </c:layout>
      <c:barChart>
        <c:barDir val="bar"/>
        <c:grouping val="clustered"/>
        <c:varyColors val="0"/>
        <c:ser>
          <c:idx val="0"/>
          <c:order val="0"/>
          <c:tx>
            <c:strRef>
              <c:f>Pivots!$H$6</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Pivots!$G$7:$G$19</c:f>
              <c:strCache>
                <c:ptCount val="12"/>
                <c:pt idx="0">
                  <c:v>Copiers</c:v>
                </c:pt>
                <c:pt idx="1">
                  <c:v>Phones</c:v>
                </c:pt>
                <c:pt idx="2">
                  <c:v>Appliances</c:v>
                </c:pt>
                <c:pt idx="3">
                  <c:v>Bookcases</c:v>
                </c:pt>
                <c:pt idx="4">
                  <c:v>Tables</c:v>
                </c:pt>
                <c:pt idx="5">
                  <c:v>Furnishings</c:v>
                </c:pt>
                <c:pt idx="6">
                  <c:v>Storage</c:v>
                </c:pt>
                <c:pt idx="7">
                  <c:v>Chairs</c:v>
                </c:pt>
                <c:pt idx="8">
                  <c:v>Machines</c:v>
                </c:pt>
                <c:pt idx="9">
                  <c:v>Paper</c:v>
                </c:pt>
                <c:pt idx="10">
                  <c:v>Accessories</c:v>
                </c:pt>
                <c:pt idx="11">
                  <c:v>Binders</c:v>
                </c:pt>
              </c:strCache>
            </c:strRef>
          </c:cat>
          <c:val>
            <c:numRef>
              <c:f>Pivots!$H$7:$H$19</c:f>
              <c:numCache>
                <c:formatCode>General</c:formatCode>
                <c:ptCount val="12"/>
                <c:pt idx="0">
                  <c:v>55634.069999999985</c:v>
                </c:pt>
                <c:pt idx="1">
                  <c:v>55580.569999999971</c:v>
                </c:pt>
                <c:pt idx="2">
                  <c:v>42246.920000000006</c:v>
                </c:pt>
                <c:pt idx="3">
                  <c:v>41925.539999999979</c:v>
                </c:pt>
                <c:pt idx="4">
                  <c:v>41300.569999999985</c:v>
                </c:pt>
                <c:pt idx="5">
                  <c:v>39032.540000000015</c:v>
                </c:pt>
                <c:pt idx="6">
                  <c:v>37468.080000000016</c:v>
                </c:pt>
                <c:pt idx="7">
                  <c:v>35924.92</c:v>
                </c:pt>
                <c:pt idx="8">
                  <c:v>35880.629999999997</c:v>
                </c:pt>
                <c:pt idx="9">
                  <c:v>32179.429999999993</c:v>
                </c:pt>
                <c:pt idx="10">
                  <c:v>31249.870000000006</c:v>
                </c:pt>
                <c:pt idx="11">
                  <c:v>28254.660000000003</c:v>
                </c:pt>
              </c:numCache>
            </c:numRef>
          </c:val>
          <c:extLst>
            <c:ext xmlns:c16="http://schemas.microsoft.com/office/drawing/2014/chart" uri="{C3380CC4-5D6E-409C-BE32-E72D297353CC}">
              <c16:uniqueId val="{00000000-D87B-4010-8928-01EDF7B23658}"/>
            </c:ext>
          </c:extLst>
        </c:ser>
        <c:dLbls>
          <c:showLegendKey val="0"/>
          <c:showVal val="0"/>
          <c:showCatName val="0"/>
          <c:showSerName val="0"/>
          <c:showPercent val="0"/>
          <c:showBubbleSize val="0"/>
        </c:dLbls>
        <c:gapWidth val="115"/>
        <c:overlap val="-20"/>
        <c:axId val="648690303"/>
        <c:axId val="648693663"/>
      </c:barChart>
      <c:catAx>
        <c:axId val="648690303"/>
        <c:scaling>
          <c:orientation val="minMax"/>
        </c:scaling>
        <c:delete val="0"/>
        <c:axPos val="l"/>
        <c:numFmt formatCode="General" sourceLinked="1"/>
        <c:majorTickMark val="none"/>
        <c:minorTickMark val="none"/>
        <c:tickLblPos val="high"/>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648693663"/>
        <c:crosses val="autoZero"/>
        <c:auto val="1"/>
        <c:lblAlgn val="ctr"/>
        <c:lblOffset val="100"/>
        <c:noMultiLvlLbl val="0"/>
      </c:catAx>
      <c:valAx>
        <c:axId val="6486936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IN" sz="1000" b="1">
                    <a:solidFill>
                      <a:schemeClr val="tx2"/>
                    </a:solidFill>
                    <a:latin typeface="Segoe UI" panose="020B0502040204020203" pitchFamily="34" charset="0"/>
                    <a:cs typeface="Segoe UI" panose="020B0502040204020203" pitchFamily="34" charset="0"/>
                  </a:rPr>
                  <a:t>Profit</a:t>
                </a:r>
              </a:p>
            </c:rich>
          </c:tx>
          <c:layout>
            <c:manualLayout>
              <c:xMode val="edge"/>
              <c:yMode val="edge"/>
              <c:x val="0.47010154882154881"/>
              <c:y val="0.9245181152387155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69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Project.xlsx]Pivots!Sales by Region</c:name>
    <c:fmtId val="7"/>
  </c:pivotSource>
  <c:chart>
    <c:title>
      <c:tx>
        <c:rich>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chemeClr val="bg2"/>
                </a:solidFill>
                <a:effectLst>
                  <a:outerShdw blurRad="50800" dist="38100" dir="5400000" algn="t" rotWithShape="0">
                    <a:prstClr val="black">
                      <a:alpha val="40000"/>
                    </a:prstClr>
                  </a:outerShdw>
                </a:effectLst>
              </a:rPr>
              <a:t>Sales by Region</a:t>
            </a:r>
            <a:endParaRPr lang="en-US">
              <a:solidFill>
                <a:schemeClr val="bg2"/>
              </a:solidFill>
            </a:endParaRPr>
          </a:p>
        </c:rich>
      </c:tx>
      <c:layout>
        <c:manualLayout>
          <c:xMode val="edge"/>
          <c:yMode val="edge"/>
          <c:x val="0.18901975342412222"/>
          <c:y val="2.4390243902439025E-2"/>
        </c:manualLayout>
      </c:layout>
      <c:overlay val="0"/>
      <c:spPr>
        <a:solidFill>
          <a:schemeClr val="bg2">
            <a:lumMod val="75000"/>
          </a:schemeClr>
        </a:solidFill>
        <a:ln>
          <a:noFill/>
        </a:ln>
        <a:effectLst/>
      </c:spPr>
      <c:txPr>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8"/>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9"/>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1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s>
    <c:plotArea>
      <c:layout>
        <c:manualLayout>
          <c:layoutTarget val="inner"/>
          <c:xMode val="edge"/>
          <c:yMode val="edge"/>
          <c:x val="0.21426740391942323"/>
          <c:y val="0.2057992446066193"/>
          <c:w val="0.46682492466219494"/>
          <c:h val="0.7685532296267843"/>
        </c:manualLayout>
      </c:layout>
      <c:pieChart>
        <c:varyColors val="1"/>
        <c:ser>
          <c:idx val="0"/>
          <c:order val="0"/>
          <c:tx>
            <c:strRef>
              <c:f>Pivots!$K$6</c:f>
              <c:strCache>
                <c:ptCount val="1"/>
                <c:pt idx="0">
                  <c:v>Total</c:v>
                </c:pt>
              </c:strCache>
            </c:strRef>
          </c:tx>
          <c:explosion val="7"/>
          <c:dPt>
            <c:idx val="0"/>
            <c:bubble3D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1-B18F-44DB-8543-AEAF13B69FE8}"/>
              </c:ext>
            </c:extLst>
          </c:dPt>
          <c:dPt>
            <c:idx val="1"/>
            <c:bubble3D val="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3-B18F-44DB-8543-AEAF13B69FE8}"/>
              </c:ext>
            </c:extLst>
          </c:dPt>
          <c:dPt>
            <c:idx val="2"/>
            <c:bubble3D val="0"/>
            <c:spPr>
              <a:gradFill rotWithShape="1">
                <a:gsLst>
                  <a:gs pos="0">
                    <a:schemeClr val="accent3">
                      <a:tint val="100000"/>
                      <a:shade val="85000"/>
                      <a:satMod val="100000"/>
                      <a:lumMod val="100000"/>
                    </a:schemeClr>
                  </a:gs>
                  <a:gs pos="100000">
                    <a:schemeClr val="accent3">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5-B18F-44DB-8543-AEAF13B69FE8}"/>
              </c:ext>
            </c:extLst>
          </c:dPt>
          <c:dPt>
            <c:idx val="3"/>
            <c:bubble3D val="0"/>
            <c:spPr>
              <a:gradFill rotWithShape="1">
                <a:gsLst>
                  <a:gs pos="0">
                    <a:schemeClr val="accent4">
                      <a:tint val="100000"/>
                      <a:shade val="85000"/>
                      <a:satMod val="100000"/>
                      <a:lumMod val="100000"/>
                    </a:schemeClr>
                  </a:gs>
                  <a:gs pos="100000">
                    <a:schemeClr val="accent4">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7-B18F-44DB-8543-AEAF13B69FE8}"/>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Pivots!$J$7:$J$11</c:f>
              <c:strCache>
                <c:ptCount val="4"/>
                <c:pt idx="0">
                  <c:v>Central</c:v>
                </c:pt>
                <c:pt idx="1">
                  <c:v>East</c:v>
                </c:pt>
                <c:pt idx="2">
                  <c:v>South</c:v>
                </c:pt>
                <c:pt idx="3">
                  <c:v>West</c:v>
                </c:pt>
              </c:strCache>
            </c:strRef>
          </c:cat>
          <c:val>
            <c:numRef>
              <c:f>Pivots!$K$7:$K$11</c:f>
              <c:numCache>
                <c:formatCode>General</c:formatCode>
                <c:ptCount val="4"/>
                <c:pt idx="0">
                  <c:v>637053.24000000011</c:v>
                </c:pt>
                <c:pt idx="1">
                  <c:v>660268.13</c:v>
                </c:pt>
                <c:pt idx="2">
                  <c:v>662547.25000000058</c:v>
                </c:pt>
                <c:pt idx="3">
                  <c:v>525999.50999999989</c:v>
                </c:pt>
              </c:numCache>
            </c:numRef>
          </c:val>
          <c:extLst>
            <c:ext xmlns:c16="http://schemas.microsoft.com/office/drawing/2014/chart" uri="{C3380CC4-5D6E-409C-BE32-E72D297353CC}">
              <c16:uniqueId val="{00000008-B18F-44DB-8543-AEAF13B69FE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7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Project.xlsx]Pivots!Top 10 Products by Sales</c:name>
    <c:fmtId val="9"/>
  </c:pivotSource>
  <c:chart>
    <c:title>
      <c:tx>
        <c:rich>
          <a:bodyPr rot="0" spcFirstLastPara="1" vertOverflow="ellipsis" vert="horz" wrap="square" anchor="t"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Segoe UI" panose="020B0502040204020203" pitchFamily="34" charset="0"/>
                <a:cs typeface="Segoe UI" panose="020B0502040204020203" pitchFamily="34" charset="0"/>
              </a:rPr>
              <a:t>Top 10 Products by Sales</a:t>
            </a:r>
            <a:endParaRPr lang="en-IN" b="1">
              <a:latin typeface="Segoe UI" panose="020B0502040204020203" pitchFamily="34" charset="0"/>
              <a:cs typeface="Segoe UI" panose="020B0502040204020203" pitchFamily="34" charset="0"/>
            </a:endParaRPr>
          </a:p>
        </c:rich>
      </c:tx>
      <c:layout>
        <c:manualLayout>
          <c:xMode val="edge"/>
          <c:yMode val="edge"/>
          <c:x val="0.16024914281776048"/>
          <c:y val="1.4002337299078488E-2"/>
        </c:manualLayout>
      </c:layout>
      <c:overlay val="0"/>
      <c:spPr>
        <a:noFill/>
        <a:ln>
          <a:noFill/>
        </a:ln>
        <a:effectLst/>
      </c:spPr>
      <c:txPr>
        <a:bodyPr rot="0" spcFirstLastPara="1" vertOverflow="ellipsis" vert="horz" wrap="square" anchor="t"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172694222850156E-2"/>
          <c:y val="0.14413625304136254"/>
          <c:w val="0.69107841279139892"/>
          <c:h val="0.70828821579784285"/>
        </c:manualLayout>
      </c:layout>
      <c:barChart>
        <c:barDir val="bar"/>
        <c:grouping val="clustered"/>
        <c:varyColors val="0"/>
        <c:ser>
          <c:idx val="0"/>
          <c:order val="0"/>
          <c:tx>
            <c:strRef>
              <c:f>Pivots!$N$6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Pivots!$M$7:$M$17</c:f>
              <c:strCache>
                <c:ptCount val="10"/>
                <c:pt idx="0">
                  <c:v>Product 438</c:v>
                </c:pt>
                <c:pt idx="1">
                  <c:v>Product 262</c:v>
                </c:pt>
                <c:pt idx="2">
                  <c:v>Product 554</c:v>
                </c:pt>
                <c:pt idx="3">
                  <c:v>Product 150</c:v>
                </c:pt>
                <c:pt idx="4">
                  <c:v>Product 105</c:v>
                </c:pt>
                <c:pt idx="5">
                  <c:v>Product 185</c:v>
                </c:pt>
                <c:pt idx="6">
                  <c:v>Product 367</c:v>
                </c:pt>
                <c:pt idx="7">
                  <c:v>Product 279</c:v>
                </c:pt>
                <c:pt idx="8">
                  <c:v>Product 11</c:v>
                </c:pt>
                <c:pt idx="9">
                  <c:v>Product 372</c:v>
                </c:pt>
              </c:strCache>
            </c:strRef>
          </c:cat>
          <c:val>
            <c:numRef>
              <c:f>Pivots!$N$7:$N$17</c:f>
              <c:numCache>
                <c:formatCode>0.00</c:formatCode>
                <c:ptCount val="10"/>
                <c:pt idx="0">
                  <c:v>19052.260000000002</c:v>
                </c:pt>
                <c:pt idx="1">
                  <c:v>17859.829999999998</c:v>
                </c:pt>
                <c:pt idx="2">
                  <c:v>17124.7</c:v>
                </c:pt>
                <c:pt idx="3">
                  <c:v>16938.120000000003</c:v>
                </c:pt>
                <c:pt idx="4">
                  <c:v>14630.140000000001</c:v>
                </c:pt>
                <c:pt idx="5">
                  <c:v>14151.099999999999</c:v>
                </c:pt>
                <c:pt idx="6">
                  <c:v>14087.95</c:v>
                </c:pt>
                <c:pt idx="7">
                  <c:v>14059.580000000002</c:v>
                </c:pt>
                <c:pt idx="8">
                  <c:v>13309.809999999998</c:v>
                </c:pt>
                <c:pt idx="9">
                  <c:v>13137.059999999998</c:v>
                </c:pt>
              </c:numCache>
            </c:numRef>
          </c:val>
          <c:extLst>
            <c:ext xmlns:c16="http://schemas.microsoft.com/office/drawing/2014/chart" uri="{C3380CC4-5D6E-409C-BE32-E72D297353CC}">
              <c16:uniqueId val="{00000000-D426-4CDF-8E7F-8B03367E3632}"/>
            </c:ext>
          </c:extLst>
        </c:ser>
        <c:dLbls>
          <c:dLblPos val="outEnd"/>
          <c:showLegendKey val="0"/>
          <c:showVal val="1"/>
          <c:showCatName val="0"/>
          <c:showSerName val="0"/>
          <c:showPercent val="0"/>
          <c:showBubbleSize val="0"/>
        </c:dLbls>
        <c:gapWidth val="219"/>
        <c:axId val="1149928351"/>
        <c:axId val="1149927391"/>
      </c:barChart>
      <c:catAx>
        <c:axId val="1149928351"/>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149927391"/>
        <c:crosses val="autoZero"/>
        <c:auto val="1"/>
        <c:lblAlgn val="ctr"/>
        <c:lblOffset val="100"/>
        <c:noMultiLvlLbl val="0"/>
      </c:catAx>
      <c:valAx>
        <c:axId val="1149927391"/>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IN" b="1">
                    <a:solidFill>
                      <a:schemeClr val="tx2"/>
                    </a:solidFill>
                  </a:rPr>
                  <a:t>Sales</a:t>
                </a:r>
              </a:p>
            </c:rich>
          </c:tx>
          <c:layout>
            <c:manualLayout>
              <c:xMode val="edge"/>
              <c:yMode val="edge"/>
              <c:x val="0.43562638915212176"/>
              <c:y val="0.9324087591240876"/>
            </c:manualLayout>
          </c:layout>
          <c:overlay val="0"/>
          <c:spPr>
            <a:noFill/>
            <a:ln>
              <a:noFill/>
            </a:ln>
            <a:effectLst/>
          </c:spPr>
          <c:txPr>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92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Project.xlsx]Pivots!PivotTable8</c:name>
    <c:fmtId val="32"/>
  </c:pivotSource>
  <c:chart>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3.2209750376947566E-2"/>
          <c:y val="2.6501499028102693E-3"/>
          <c:w val="0.52520057333258874"/>
          <c:h val="0.90677486742728586"/>
        </c:manualLayout>
      </c:layout>
      <c:doughnutChart>
        <c:varyColors val="1"/>
        <c:ser>
          <c:idx val="0"/>
          <c:order val="0"/>
          <c:tx>
            <c:strRef>
              <c:f>Pivots!$Q$6</c:f>
              <c:strCache>
                <c:ptCount val="1"/>
                <c:pt idx="0">
                  <c:v>Count of Order ID</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83B-4459-96FC-2087550591A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83B-4459-96FC-2087550591A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83B-4459-96FC-2087550591A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83B-4459-96FC-2087550591A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Pivots!$P$7:$P$11</c:f>
              <c:strCache>
                <c:ptCount val="4"/>
                <c:pt idx="0">
                  <c:v>First Class</c:v>
                </c:pt>
                <c:pt idx="1">
                  <c:v>Same Day</c:v>
                </c:pt>
                <c:pt idx="2">
                  <c:v>Second Class</c:v>
                </c:pt>
                <c:pt idx="3">
                  <c:v>Standard Class</c:v>
                </c:pt>
              </c:strCache>
            </c:strRef>
          </c:cat>
          <c:val>
            <c:numRef>
              <c:f>Pivots!$Q$7:$Q$11</c:f>
              <c:numCache>
                <c:formatCode>0.00%</c:formatCode>
                <c:ptCount val="4"/>
                <c:pt idx="0">
                  <c:v>0.22</c:v>
                </c:pt>
                <c:pt idx="1">
                  <c:v>0.25700000000000001</c:v>
                </c:pt>
                <c:pt idx="2">
                  <c:v>0.26400000000000001</c:v>
                </c:pt>
                <c:pt idx="3">
                  <c:v>0.25900000000000001</c:v>
                </c:pt>
              </c:numCache>
            </c:numRef>
          </c:val>
          <c:extLst>
            <c:ext xmlns:c16="http://schemas.microsoft.com/office/drawing/2014/chart" uri="{C3380CC4-5D6E-409C-BE32-E72D297353CC}">
              <c16:uniqueId val="{00000008-E83B-4459-96FC-2087550591AD}"/>
            </c:ext>
          </c:extLst>
        </c:ser>
        <c:ser>
          <c:idx val="1"/>
          <c:order val="1"/>
          <c:tx>
            <c:strRef>
              <c:f>Pivots!$R$6</c:f>
              <c:strCache>
                <c:ptCount val="1"/>
                <c:pt idx="0">
                  <c:v>Sum of Sales</c:v>
                </c:pt>
              </c:strCache>
            </c:strRef>
          </c:tx>
          <c:dPt>
            <c:idx val="0"/>
            <c:bubble3D val="0"/>
            <c:explosion val="2"/>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E83B-4459-96FC-2087550591A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E83B-4459-96FC-2087550591A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E83B-4459-96FC-2087550591A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E83B-4459-96FC-2087550591A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Pivots!$P$7:$P$11</c:f>
              <c:strCache>
                <c:ptCount val="4"/>
                <c:pt idx="0">
                  <c:v>First Class</c:v>
                </c:pt>
                <c:pt idx="1">
                  <c:v>Same Day</c:v>
                </c:pt>
                <c:pt idx="2">
                  <c:v>Second Class</c:v>
                </c:pt>
                <c:pt idx="3">
                  <c:v>Standard Class</c:v>
                </c:pt>
              </c:strCache>
            </c:strRef>
          </c:cat>
          <c:val>
            <c:numRef>
              <c:f>Pivots!$R$7:$R$11</c:f>
              <c:numCache>
                <c:formatCode>0.00%</c:formatCode>
                <c:ptCount val="4"/>
                <c:pt idx="0">
                  <c:v>0.21124199375773006</c:v>
                </c:pt>
                <c:pt idx="1">
                  <c:v>0.2607031170233477</c:v>
                </c:pt>
                <c:pt idx="2">
                  <c:v>0.27114388807100581</c:v>
                </c:pt>
                <c:pt idx="3">
                  <c:v>0.25691100114791726</c:v>
                </c:pt>
              </c:numCache>
            </c:numRef>
          </c:val>
          <c:extLst>
            <c:ext xmlns:c16="http://schemas.microsoft.com/office/drawing/2014/chart" uri="{C3380CC4-5D6E-409C-BE32-E72D297353CC}">
              <c16:uniqueId val="{00000011-E83B-4459-96FC-2087550591A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4.png"/><Relationship Id="rId7" Type="http://schemas.openxmlformats.org/officeDocument/2006/relationships/chart" Target="../charts/chart3.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5.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88900</xdr:colOff>
      <xdr:row>15</xdr:row>
      <xdr:rowOff>133350</xdr:rowOff>
    </xdr:from>
    <xdr:to>
      <xdr:col>8</xdr:col>
      <xdr:colOff>139700</xdr:colOff>
      <xdr:row>24</xdr:row>
      <xdr:rowOff>120650</xdr:rowOff>
    </xdr:to>
    <xdr:sp macro="" textlink="">
      <xdr:nvSpPr>
        <xdr:cNvPr id="26" name="Rectangle: Rounded Corners 25">
          <a:extLst>
            <a:ext uri="{FF2B5EF4-FFF2-40B4-BE49-F238E27FC236}">
              <a16:creationId xmlns:a16="http://schemas.microsoft.com/office/drawing/2014/main" id="{E30938F1-24B3-4AF1-8A0C-2E7772E4069D}"/>
            </a:ext>
          </a:extLst>
        </xdr:cNvPr>
        <xdr:cNvSpPr/>
      </xdr:nvSpPr>
      <xdr:spPr>
        <a:xfrm>
          <a:off x="2730500" y="2800350"/>
          <a:ext cx="2692400" cy="1587500"/>
        </a:xfrm>
        <a:prstGeom prst="roundRect">
          <a:avLst>
            <a:gd name="adj" fmla="val 3600"/>
          </a:avLst>
        </a:prstGeom>
        <a:solidFill>
          <a:schemeClr val="accent2">
            <a:lumMod val="40000"/>
            <a:lumOff val="60000"/>
          </a:schemeClr>
        </a:solidFill>
        <a:ln>
          <a:solidFill>
            <a:srgbClr val="004E63">
              <a:alpha val="65098"/>
            </a:srgb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12700</xdr:colOff>
      <xdr:row>15</xdr:row>
      <xdr:rowOff>127000</xdr:rowOff>
    </xdr:from>
    <xdr:to>
      <xdr:col>4</xdr:col>
      <xdr:colOff>31750</xdr:colOff>
      <xdr:row>24</xdr:row>
      <xdr:rowOff>127000</xdr:rowOff>
    </xdr:to>
    <xdr:sp macro="" textlink="">
      <xdr:nvSpPr>
        <xdr:cNvPr id="23" name="Rectangle: Rounded Corners 22">
          <a:extLst>
            <a:ext uri="{FF2B5EF4-FFF2-40B4-BE49-F238E27FC236}">
              <a16:creationId xmlns:a16="http://schemas.microsoft.com/office/drawing/2014/main" id="{A21DAED2-FAE0-4CD1-A5D8-557A59D1F934}"/>
            </a:ext>
          </a:extLst>
        </xdr:cNvPr>
        <xdr:cNvSpPr/>
      </xdr:nvSpPr>
      <xdr:spPr>
        <a:xfrm>
          <a:off x="12700" y="2794000"/>
          <a:ext cx="2660650" cy="1600200"/>
        </a:xfrm>
        <a:prstGeom prst="roundRect">
          <a:avLst>
            <a:gd name="adj" fmla="val 3419"/>
          </a:avLst>
        </a:prstGeom>
        <a:solidFill>
          <a:schemeClr val="bg2">
            <a:lumMod val="75000"/>
          </a:schemeClr>
        </a:solidFill>
        <a:ln>
          <a:solidFill>
            <a:srgbClr val="004E63">
              <a:alpha val="65098"/>
            </a:srgb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xdr:colOff>
      <xdr:row>3</xdr:row>
      <xdr:rowOff>19050</xdr:rowOff>
    </xdr:from>
    <xdr:to>
      <xdr:col>2</xdr:col>
      <xdr:colOff>57150</xdr:colOff>
      <xdr:row>6</xdr:row>
      <xdr:rowOff>82550</xdr:rowOff>
    </xdr:to>
    <xdr:sp macro="" textlink="">
      <xdr:nvSpPr>
        <xdr:cNvPr id="4" name="Rectangle: Rounded Corners 3">
          <a:extLst>
            <a:ext uri="{FF2B5EF4-FFF2-40B4-BE49-F238E27FC236}">
              <a16:creationId xmlns:a16="http://schemas.microsoft.com/office/drawing/2014/main" id="{28463E2C-FBAE-4361-B534-C67BECF28B4D}"/>
            </a:ext>
          </a:extLst>
        </xdr:cNvPr>
        <xdr:cNvSpPr/>
      </xdr:nvSpPr>
      <xdr:spPr>
        <a:xfrm>
          <a:off x="19050" y="552450"/>
          <a:ext cx="1358900" cy="596900"/>
        </a:xfrm>
        <a:prstGeom prst="round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Mongolian Baiti" panose="03000500000000000000" pitchFamily="66" charset="0"/>
              <a:cs typeface="Mongolian Baiti" panose="03000500000000000000" pitchFamily="66" charset="0"/>
            </a:rPr>
            <a:t>     Sales</a:t>
          </a:r>
        </a:p>
      </xdr:txBody>
    </xdr:sp>
    <xdr:clientData/>
  </xdr:twoCellAnchor>
  <xdr:twoCellAnchor>
    <xdr:from>
      <xdr:col>0</xdr:col>
      <xdr:colOff>412750</xdr:colOff>
      <xdr:row>4</xdr:row>
      <xdr:rowOff>146050</xdr:rowOff>
    </xdr:from>
    <xdr:to>
      <xdr:col>1</xdr:col>
      <xdr:colOff>641350</xdr:colOff>
      <xdr:row>6</xdr:row>
      <xdr:rowOff>57150</xdr:rowOff>
    </xdr:to>
    <xdr:sp macro="" textlink="Pivots!J3">
      <xdr:nvSpPr>
        <xdr:cNvPr id="5" name="TextBox 4">
          <a:extLst>
            <a:ext uri="{FF2B5EF4-FFF2-40B4-BE49-F238E27FC236}">
              <a16:creationId xmlns:a16="http://schemas.microsoft.com/office/drawing/2014/main" id="{4D222A7C-5300-4849-AC7E-BFBDC1B55D1C}"/>
            </a:ext>
          </a:extLst>
        </xdr:cNvPr>
        <xdr:cNvSpPr txBox="1"/>
      </xdr:nvSpPr>
      <xdr:spPr>
        <a:xfrm>
          <a:off x="412750" y="857250"/>
          <a:ext cx="889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80D5BB-45E9-49CB-9179-7C74F2E5CCBA}" type="TxLink">
            <a:rPr lang="en-US" sz="1800" b="1" i="0" u="none" strike="noStrike">
              <a:solidFill>
                <a:srgbClr val="000000"/>
              </a:solidFill>
              <a:latin typeface="Tw Cen MT"/>
            </a:rPr>
            <a:pPr algn="ctr"/>
            <a:t>2.49M</a:t>
          </a:fld>
          <a:endParaRPr lang="en-IN" sz="1800"/>
        </a:p>
      </xdr:txBody>
    </xdr:sp>
    <xdr:clientData/>
  </xdr:twoCellAnchor>
  <xdr:twoCellAnchor>
    <xdr:from>
      <xdr:col>0</xdr:col>
      <xdr:colOff>63500</xdr:colOff>
      <xdr:row>3</xdr:row>
      <xdr:rowOff>57150</xdr:rowOff>
    </xdr:from>
    <xdr:to>
      <xdr:col>0</xdr:col>
      <xdr:colOff>514350</xdr:colOff>
      <xdr:row>6</xdr:row>
      <xdr:rowOff>63384</xdr:rowOff>
    </xdr:to>
    <xdr:pic>
      <xdr:nvPicPr>
        <xdr:cNvPr id="7" name="Picture 6">
          <a:extLst>
            <a:ext uri="{FF2B5EF4-FFF2-40B4-BE49-F238E27FC236}">
              <a16:creationId xmlns:a16="http://schemas.microsoft.com/office/drawing/2014/main" id="{5191285F-6154-475B-9E7F-8F94FBBF6BB7}"/>
            </a:ext>
          </a:extLst>
        </xdr:cNvPr>
        <xdr:cNvPicPr>
          <a:picLocks noChangeAspect="1"/>
        </xdr:cNvPicPr>
      </xdr:nvPicPr>
      <xdr:blipFill>
        <a:blip xmlns:r="http://schemas.openxmlformats.org/officeDocument/2006/relationships" r:embed="rId1">
          <a:clrChange>
            <a:clrFrom>
              <a:srgbClr val="F6F6F6"/>
            </a:clrFrom>
            <a:clrTo>
              <a:srgbClr val="F6F6F6">
                <a:alpha val="0"/>
              </a:srgbClr>
            </a:clrTo>
          </a:clrChange>
        </a:blip>
        <a:stretch>
          <a:fillRect/>
        </a:stretch>
      </xdr:blipFill>
      <xdr:spPr>
        <a:xfrm>
          <a:off x="63500" y="590550"/>
          <a:ext cx="450850" cy="539634"/>
        </a:xfrm>
        <a:prstGeom prst="rect">
          <a:avLst/>
        </a:prstGeom>
      </xdr:spPr>
    </xdr:pic>
    <xdr:clientData/>
  </xdr:twoCellAnchor>
  <xdr:twoCellAnchor>
    <xdr:from>
      <xdr:col>2</xdr:col>
      <xdr:colOff>88900</xdr:colOff>
      <xdr:row>3</xdr:row>
      <xdr:rowOff>19050</xdr:rowOff>
    </xdr:from>
    <xdr:to>
      <xdr:col>4</xdr:col>
      <xdr:colOff>44450</xdr:colOff>
      <xdr:row>6</xdr:row>
      <xdr:rowOff>82550</xdr:rowOff>
    </xdr:to>
    <xdr:sp macro="" textlink="">
      <xdr:nvSpPr>
        <xdr:cNvPr id="8" name="Rectangle: Rounded Corners 7">
          <a:extLst>
            <a:ext uri="{FF2B5EF4-FFF2-40B4-BE49-F238E27FC236}">
              <a16:creationId xmlns:a16="http://schemas.microsoft.com/office/drawing/2014/main" id="{9AD0B227-5901-4F51-BFCA-592B363FB8B6}"/>
            </a:ext>
          </a:extLst>
        </xdr:cNvPr>
        <xdr:cNvSpPr/>
      </xdr:nvSpPr>
      <xdr:spPr>
        <a:xfrm>
          <a:off x="1409700" y="552450"/>
          <a:ext cx="1276350" cy="596900"/>
        </a:xfrm>
        <a:prstGeom prst="roundRect">
          <a:avLst/>
        </a:prstGeom>
        <a:solidFill>
          <a:schemeClr val="accent3">
            <a:lumMod val="60000"/>
            <a:lumOff val="4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Mongolian Baiti" panose="03000500000000000000" pitchFamily="66" charset="0"/>
              <a:cs typeface="Mongolian Baiti" panose="03000500000000000000" pitchFamily="66" charset="0"/>
            </a:rPr>
            <a:t>     Profit</a:t>
          </a:r>
          <a:endParaRPr lang="en-IN" sz="1600" b="1" baseline="0">
            <a:latin typeface="Mongolian Baiti" panose="03000500000000000000" pitchFamily="66" charset="0"/>
            <a:cs typeface="Mongolian Baiti" panose="03000500000000000000" pitchFamily="66" charset="0"/>
          </a:endParaRPr>
        </a:p>
        <a:p>
          <a:pPr algn="ctr"/>
          <a:endParaRPr lang="en-IN" sz="1600" b="1">
            <a:latin typeface="Mongolian Baiti" panose="03000500000000000000" pitchFamily="66" charset="0"/>
            <a:cs typeface="Mongolian Baiti" panose="03000500000000000000" pitchFamily="66" charset="0"/>
          </a:endParaRPr>
        </a:p>
      </xdr:txBody>
    </xdr:sp>
    <xdr:clientData/>
  </xdr:twoCellAnchor>
  <xdr:twoCellAnchor>
    <xdr:from>
      <xdr:col>2</xdr:col>
      <xdr:colOff>444500</xdr:colOff>
      <xdr:row>4</xdr:row>
      <xdr:rowOff>158750</xdr:rowOff>
    </xdr:from>
    <xdr:to>
      <xdr:col>4</xdr:col>
      <xdr:colOff>19050</xdr:colOff>
      <xdr:row>6</xdr:row>
      <xdr:rowOff>69850</xdr:rowOff>
    </xdr:to>
    <xdr:sp macro="" textlink="Pivots!K3">
      <xdr:nvSpPr>
        <xdr:cNvPr id="14" name="TextBox 13">
          <a:extLst>
            <a:ext uri="{FF2B5EF4-FFF2-40B4-BE49-F238E27FC236}">
              <a16:creationId xmlns:a16="http://schemas.microsoft.com/office/drawing/2014/main" id="{4BFA3B61-BF1F-4EE9-BA8D-20C170FC3BBC}"/>
            </a:ext>
          </a:extLst>
        </xdr:cNvPr>
        <xdr:cNvSpPr txBox="1"/>
      </xdr:nvSpPr>
      <xdr:spPr>
        <a:xfrm>
          <a:off x="1765300" y="869950"/>
          <a:ext cx="8953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3A354ED-53A8-410A-B861-0C8F5460E92C}" type="TxLink">
            <a:rPr lang="en-US" sz="1800" b="1" i="0" u="none" strike="noStrike">
              <a:solidFill>
                <a:srgbClr val="000000"/>
              </a:solidFill>
              <a:latin typeface="Tw Cen MT"/>
              <a:ea typeface="+mn-ea"/>
              <a:cs typeface="+mn-cs"/>
            </a:rPr>
            <a:pPr marL="0" indent="0" algn="ctr"/>
            <a:t>0.48M</a:t>
          </a:fld>
          <a:endParaRPr lang="en-IN" sz="1800" b="1" i="0" u="none" strike="noStrike">
            <a:solidFill>
              <a:srgbClr val="000000"/>
            </a:solidFill>
            <a:latin typeface="Tw Cen MT"/>
            <a:ea typeface="+mn-ea"/>
            <a:cs typeface="+mn-cs"/>
          </a:endParaRPr>
        </a:p>
      </xdr:txBody>
    </xdr:sp>
    <xdr:clientData/>
  </xdr:twoCellAnchor>
  <xdr:twoCellAnchor>
    <xdr:from>
      <xdr:col>2</xdr:col>
      <xdr:colOff>146051</xdr:colOff>
      <xdr:row>3</xdr:row>
      <xdr:rowOff>120650</xdr:rowOff>
    </xdr:from>
    <xdr:to>
      <xdr:col>2</xdr:col>
      <xdr:colOff>431801</xdr:colOff>
      <xdr:row>5</xdr:row>
      <xdr:rowOff>167260</xdr:rowOff>
    </xdr:to>
    <xdr:pic>
      <xdr:nvPicPr>
        <xdr:cNvPr id="18" name="Picture 17">
          <a:extLst>
            <a:ext uri="{FF2B5EF4-FFF2-40B4-BE49-F238E27FC236}">
              <a16:creationId xmlns:a16="http://schemas.microsoft.com/office/drawing/2014/main" id="{CE242FC7-4AB9-4187-853B-246BA89DB720}"/>
            </a:ext>
          </a:extLst>
        </xdr:cNvPr>
        <xdr:cNvPicPr>
          <a:picLocks noChangeAspect="1"/>
        </xdr:cNvPicPr>
      </xdr:nvPicPr>
      <xdr:blipFill>
        <a:blip xmlns:r="http://schemas.openxmlformats.org/officeDocument/2006/relationships" r:embed="rId2"/>
        <a:stretch>
          <a:fillRect/>
        </a:stretch>
      </xdr:blipFill>
      <xdr:spPr>
        <a:xfrm>
          <a:off x="1466851" y="654050"/>
          <a:ext cx="285750" cy="402210"/>
        </a:xfrm>
        <a:prstGeom prst="rect">
          <a:avLst/>
        </a:prstGeom>
        <a:noFill/>
        <a:ln>
          <a:noFill/>
        </a:ln>
      </xdr:spPr>
    </xdr:pic>
    <xdr:clientData/>
  </xdr:twoCellAnchor>
  <xdr:twoCellAnchor>
    <xdr:from>
      <xdr:col>4</xdr:col>
      <xdr:colOff>76200</xdr:colOff>
      <xdr:row>3</xdr:row>
      <xdr:rowOff>19050</xdr:rowOff>
    </xdr:from>
    <xdr:to>
      <xdr:col>6</xdr:col>
      <xdr:colOff>76200</xdr:colOff>
      <xdr:row>6</xdr:row>
      <xdr:rowOff>82550</xdr:rowOff>
    </xdr:to>
    <xdr:grpSp>
      <xdr:nvGrpSpPr>
        <xdr:cNvPr id="22" name="Group 21">
          <a:extLst>
            <a:ext uri="{FF2B5EF4-FFF2-40B4-BE49-F238E27FC236}">
              <a16:creationId xmlns:a16="http://schemas.microsoft.com/office/drawing/2014/main" id="{778ED495-C63E-C37C-B97B-269B2DFD84D0}"/>
            </a:ext>
          </a:extLst>
        </xdr:cNvPr>
        <xdr:cNvGrpSpPr/>
      </xdr:nvGrpSpPr>
      <xdr:grpSpPr>
        <a:xfrm>
          <a:off x="2717800" y="552450"/>
          <a:ext cx="1320800" cy="596900"/>
          <a:chOff x="2641600" y="552450"/>
          <a:chExt cx="1301750" cy="596900"/>
        </a:xfrm>
        <a:solidFill>
          <a:schemeClr val="accent4">
            <a:lumMod val="60000"/>
            <a:lumOff val="40000"/>
          </a:schemeClr>
        </a:solidFill>
        <a:effectLst>
          <a:outerShdw blurRad="63500" sx="102000" sy="102000" algn="ctr" rotWithShape="0">
            <a:prstClr val="black">
              <a:alpha val="40000"/>
            </a:prstClr>
          </a:outerShdw>
        </a:effectLst>
      </xdr:grpSpPr>
      <xdr:sp macro="" textlink="">
        <xdr:nvSpPr>
          <xdr:cNvPr id="10" name="Rectangle: Rounded Corners 9">
            <a:extLst>
              <a:ext uri="{FF2B5EF4-FFF2-40B4-BE49-F238E27FC236}">
                <a16:creationId xmlns:a16="http://schemas.microsoft.com/office/drawing/2014/main" id="{F7A568DC-B8F1-48D6-BDF7-B0EDC9202EFA}"/>
              </a:ext>
            </a:extLst>
          </xdr:cNvPr>
          <xdr:cNvSpPr/>
        </xdr:nvSpPr>
        <xdr:spPr>
          <a:xfrm>
            <a:off x="2641600" y="552450"/>
            <a:ext cx="1301750" cy="5969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Mongolian Baiti" panose="03000500000000000000" pitchFamily="66" charset="0"/>
                <a:cs typeface="Mongolian Baiti" panose="03000500000000000000" pitchFamily="66" charset="0"/>
              </a:rPr>
              <a:t>     Quantity</a:t>
            </a:r>
          </a:p>
        </xdr:txBody>
      </xdr:sp>
      <xdr:sp macro="" textlink="Pivots!L3">
        <xdr:nvSpPr>
          <xdr:cNvPr id="16" name="TextBox 15">
            <a:extLst>
              <a:ext uri="{FF2B5EF4-FFF2-40B4-BE49-F238E27FC236}">
                <a16:creationId xmlns:a16="http://schemas.microsoft.com/office/drawing/2014/main" id="{B521DE25-4BD1-4672-B273-F3414799B4BF}"/>
              </a:ext>
            </a:extLst>
          </xdr:cNvPr>
          <xdr:cNvSpPr txBox="1"/>
        </xdr:nvSpPr>
        <xdr:spPr>
          <a:xfrm>
            <a:off x="3003549" y="863600"/>
            <a:ext cx="877216"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341D1BA-E734-45B9-BF62-33ADDBC7E049}" type="TxLink">
              <a:rPr lang="en-US" sz="1800" b="1" i="0" u="none" strike="noStrike">
                <a:solidFill>
                  <a:srgbClr val="000000"/>
                </a:solidFill>
                <a:latin typeface="Tw Cen MT"/>
                <a:ea typeface="+mn-ea"/>
                <a:cs typeface="+mn-cs"/>
              </a:rPr>
              <a:pPr marL="0" indent="0" algn="ctr"/>
              <a:t>7,827</a:t>
            </a:fld>
            <a:endParaRPr lang="en-IN" sz="1800" b="1" i="0" u="none" strike="noStrike">
              <a:solidFill>
                <a:srgbClr val="000000"/>
              </a:solidFill>
              <a:latin typeface="Tw Cen MT"/>
              <a:ea typeface="+mn-ea"/>
              <a:cs typeface="+mn-cs"/>
            </a:endParaRPr>
          </a:p>
        </xdr:txBody>
      </xdr:sp>
      <xdr:pic>
        <xdr:nvPicPr>
          <xdr:cNvPr id="19" name="Picture 18">
            <a:extLst>
              <a:ext uri="{FF2B5EF4-FFF2-40B4-BE49-F238E27FC236}">
                <a16:creationId xmlns:a16="http://schemas.microsoft.com/office/drawing/2014/main" id="{DD143107-8087-435B-A571-A0C13B44390E}"/>
              </a:ext>
            </a:extLst>
          </xdr:cNvPr>
          <xdr:cNvPicPr>
            <a:picLocks noChangeAspect="1"/>
          </xdr:cNvPicPr>
        </xdr:nvPicPr>
        <xdr:blipFill>
          <a:blip xmlns:r="http://schemas.openxmlformats.org/officeDocument/2006/relationships" r:embed="rId3"/>
          <a:stretch>
            <a:fillRect/>
          </a:stretch>
        </xdr:blipFill>
        <xdr:spPr>
          <a:xfrm>
            <a:off x="2711450" y="622300"/>
            <a:ext cx="298450" cy="471012"/>
          </a:xfrm>
          <a:prstGeom prst="rect">
            <a:avLst/>
          </a:prstGeom>
          <a:grpFill/>
        </xdr:spPr>
      </xdr:pic>
    </xdr:grpSp>
    <xdr:clientData/>
  </xdr:twoCellAnchor>
  <xdr:twoCellAnchor>
    <xdr:from>
      <xdr:col>6</xdr:col>
      <xdr:colOff>101598</xdr:colOff>
      <xdr:row>3</xdr:row>
      <xdr:rowOff>6350</xdr:rowOff>
    </xdr:from>
    <xdr:to>
      <xdr:col>8</xdr:col>
      <xdr:colOff>177799</xdr:colOff>
      <xdr:row>6</xdr:row>
      <xdr:rowOff>82550</xdr:rowOff>
    </xdr:to>
    <xdr:grpSp>
      <xdr:nvGrpSpPr>
        <xdr:cNvPr id="21" name="Group 20">
          <a:extLst>
            <a:ext uri="{FF2B5EF4-FFF2-40B4-BE49-F238E27FC236}">
              <a16:creationId xmlns:a16="http://schemas.microsoft.com/office/drawing/2014/main" id="{738A4448-EF6B-C023-67E5-6AEB726B900C}"/>
            </a:ext>
          </a:extLst>
        </xdr:cNvPr>
        <xdr:cNvGrpSpPr/>
      </xdr:nvGrpSpPr>
      <xdr:grpSpPr>
        <a:xfrm>
          <a:off x="4063998" y="539750"/>
          <a:ext cx="1397001" cy="609600"/>
          <a:chOff x="3961341" y="546100"/>
          <a:chExt cx="1257300" cy="596900"/>
        </a:xfrm>
        <a:solidFill>
          <a:schemeClr val="tx2">
            <a:lumMod val="60000"/>
            <a:lumOff val="40000"/>
          </a:schemeClr>
        </a:solidFill>
        <a:effectLst>
          <a:outerShdw blurRad="63500" sx="102000" sy="102000" algn="ctr" rotWithShape="0">
            <a:prstClr val="black">
              <a:alpha val="40000"/>
            </a:prstClr>
          </a:outerShdw>
        </a:effectLst>
      </xdr:grpSpPr>
      <xdr:sp macro="" textlink="">
        <xdr:nvSpPr>
          <xdr:cNvPr id="11" name="Rectangle: Rounded Corners 10">
            <a:extLst>
              <a:ext uri="{FF2B5EF4-FFF2-40B4-BE49-F238E27FC236}">
                <a16:creationId xmlns:a16="http://schemas.microsoft.com/office/drawing/2014/main" id="{4598B07C-AA85-45EC-ACB8-1EDCF0C824B8}"/>
              </a:ext>
            </a:extLst>
          </xdr:cNvPr>
          <xdr:cNvSpPr/>
        </xdr:nvSpPr>
        <xdr:spPr>
          <a:xfrm>
            <a:off x="3961341" y="546100"/>
            <a:ext cx="1257300" cy="5969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Mongolian Baiti" panose="03000500000000000000" pitchFamily="66" charset="0"/>
                <a:cs typeface="Mongolian Baiti" panose="03000500000000000000" pitchFamily="66" charset="0"/>
              </a:rPr>
              <a:t>     Orders</a:t>
            </a:r>
          </a:p>
        </xdr:txBody>
      </xdr:sp>
      <xdr:sp macro="" textlink="Pivots!M3">
        <xdr:nvSpPr>
          <xdr:cNvPr id="17" name="TextBox 16">
            <a:extLst>
              <a:ext uri="{FF2B5EF4-FFF2-40B4-BE49-F238E27FC236}">
                <a16:creationId xmlns:a16="http://schemas.microsoft.com/office/drawing/2014/main" id="{C5C39A24-860C-423F-8622-9BCD0CBE36B4}"/>
              </a:ext>
            </a:extLst>
          </xdr:cNvPr>
          <xdr:cNvSpPr txBox="1"/>
        </xdr:nvSpPr>
        <xdr:spPr>
          <a:xfrm>
            <a:off x="4291542" y="831850"/>
            <a:ext cx="838200"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0AE20E1-3126-4730-A9EB-3ECBC6683CBD}" type="TxLink">
              <a:rPr lang="en-US" sz="1800" b="1" i="0" u="none" strike="noStrike">
                <a:solidFill>
                  <a:srgbClr val="000000"/>
                </a:solidFill>
                <a:latin typeface="Tw Cen MT"/>
                <a:ea typeface="+mn-ea"/>
                <a:cs typeface="+mn-cs"/>
              </a:rPr>
              <a:pPr marL="0" indent="0" algn="ctr"/>
              <a:t>1,000</a:t>
            </a:fld>
            <a:endParaRPr lang="en-IN" sz="1800" b="1" i="0" u="none" strike="noStrike">
              <a:solidFill>
                <a:srgbClr val="000000"/>
              </a:solidFill>
              <a:latin typeface="Tw Cen MT"/>
              <a:ea typeface="+mn-ea"/>
              <a:cs typeface="+mn-cs"/>
            </a:endParaRPr>
          </a:p>
        </xdr:txBody>
      </xdr:sp>
      <xdr:pic>
        <xdr:nvPicPr>
          <xdr:cNvPr id="20" name="Picture 19">
            <a:extLst>
              <a:ext uri="{FF2B5EF4-FFF2-40B4-BE49-F238E27FC236}">
                <a16:creationId xmlns:a16="http://schemas.microsoft.com/office/drawing/2014/main" id="{F4DD91F4-A6C8-433B-92AC-006D4A0E8043}"/>
              </a:ext>
            </a:extLst>
          </xdr:cNvPr>
          <xdr:cNvPicPr>
            <a:picLocks noChangeAspect="1"/>
          </xdr:cNvPicPr>
        </xdr:nvPicPr>
        <xdr:blipFill>
          <a:blip xmlns:r="http://schemas.openxmlformats.org/officeDocument/2006/relationships" r:embed="rId4"/>
          <a:stretch>
            <a:fillRect/>
          </a:stretch>
        </xdr:blipFill>
        <xdr:spPr>
          <a:xfrm>
            <a:off x="4000500" y="596900"/>
            <a:ext cx="388933" cy="464667"/>
          </a:xfrm>
          <a:prstGeom prst="rect">
            <a:avLst/>
          </a:prstGeom>
          <a:grpFill/>
        </xdr:spPr>
      </xdr:pic>
    </xdr:grpSp>
    <xdr:clientData/>
  </xdr:twoCellAnchor>
  <xdr:twoCellAnchor>
    <xdr:from>
      <xdr:col>0</xdr:col>
      <xdr:colOff>19050</xdr:colOff>
      <xdr:row>0</xdr:row>
      <xdr:rowOff>19050</xdr:rowOff>
    </xdr:from>
    <xdr:to>
      <xdr:col>8</xdr:col>
      <xdr:colOff>177800</xdr:colOff>
      <xdr:row>3</xdr:row>
      <xdr:rowOff>12700</xdr:rowOff>
    </xdr:to>
    <xdr:sp macro="" textlink="">
      <xdr:nvSpPr>
        <xdr:cNvPr id="3" name="TextBox 2">
          <a:extLst>
            <a:ext uri="{FF2B5EF4-FFF2-40B4-BE49-F238E27FC236}">
              <a16:creationId xmlns:a16="http://schemas.microsoft.com/office/drawing/2014/main" id="{BB5013FA-E4FB-B145-E36A-E68CF2430CAA}"/>
            </a:ext>
          </a:extLst>
        </xdr:cNvPr>
        <xdr:cNvSpPr txBox="1"/>
      </xdr:nvSpPr>
      <xdr:spPr>
        <a:xfrm>
          <a:off x="19050" y="19050"/>
          <a:ext cx="5441950" cy="527050"/>
        </a:xfrm>
        <a:prstGeom prst="rect">
          <a:avLst/>
        </a:prstGeom>
        <a:solidFill>
          <a:srgbClr val="004E63"/>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a:t>
          </a:r>
          <a:r>
            <a:rPr lang="en-IN" sz="2400" b="1">
              <a:latin typeface="Mongolian Baiti" panose="03000500000000000000" pitchFamily="66" charset="0"/>
              <a:ea typeface="Segoe UI Black" panose="020B0A02040204020203" pitchFamily="34" charset="0"/>
              <a:cs typeface="Mongolian Baiti" panose="03000500000000000000" pitchFamily="66" charset="0"/>
            </a:rPr>
            <a:t> </a:t>
          </a:r>
          <a:r>
            <a:rPr lang="en-IN" sz="2400" b="1">
              <a:solidFill>
                <a:schemeClr val="bg1"/>
              </a:solidFill>
              <a:latin typeface="Mongolian Baiti" panose="03000500000000000000" pitchFamily="66" charset="0"/>
              <a:ea typeface="Segoe UI Black" panose="020B0A02040204020203" pitchFamily="34" charset="0"/>
              <a:cs typeface="Mongolian Baiti" panose="03000500000000000000" pitchFamily="66" charset="0"/>
            </a:rPr>
            <a:t>Sales &amp; Profit Performance Dashboard</a:t>
          </a:r>
        </a:p>
      </xdr:txBody>
    </xdr:sp>
    <xdr:clientData/>
  </xdr:twoCellAnchor>
  <xdr:twoCellAnchor>
    <xdr:from>
      <xdr:col>0</xdr:col>
      <xdr:colOff>25400</xdr:colOff>
      <xdr:row>6</xdr:row>
      <xdr:rowOff>114300</xdr:rowOff>
    </xdr:from>
    <xdr:to>
      <xdr:col>4</xdr:col>
      <xdr:colOff>25400</xdr:colOff>
      <xdr:row>15</xdr:row>
      <xdr:rowOff>95250</xdr:rowOff>
    </xdr:to>
    <xdr:sp macro="" textlink="">
      <xdr:nvSpPr>
        <xdr:cNvPr id="28" name="Rectangle: Rounded Corners 27">
          <a:extLst>
            <a:ext uri="{FF2B5EF4-FFF2-40B4-BE49-F238E27FC236}">
              <a16:creationId xmlns:a16="http://schemas.microsoft.com/office/drawing/2014/main" id="{1D390D99-18B9-DD3D-A494-6D73DE460256}"/>
            </a:ext>
          </a:extLst>
        </xdr:cNvPr>
        <xdr:cNvSpPr/>
      </xdr:nvSpPr>
      <xdr:spPr>
        <a:xfrm>
          <a:off x="25400" y="1181100"/>
          <a:ext cx="2641600" cy="1581150"/>
        </a:xfrm>
        <a:prstGeom prst="roundRect">
          <a:avLst>
            <a:gd name="adj" fmla="val 2901"/>
          </a:avLst>
        </a:prstGeom>
        <a:solidFill>
          <a:schemeClr val="bg1">
            <a:lumMod val="9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63500</xdr:colOff>
      <xdr:row>6</xdr:row>
      <xdr:rowOff>101600</xdr:rowOff>
    </xdr:from>
    <xdr:to>
      <xdr:col>3</xdr:col>
      <xdr:colOff>647700</xdr:colOff>
      <xdr:row>15</xdr:row>
      <xdr:rowOff>63500</xdr:rowOff>
    </xdr:to>
    <xdr:graphicFrame macro="">
      <xdr:nvGraphicFramePr>
        <xdr:cNvPr id="29" name="Chart 28">
          <a:extLst>
            <a:ext uri="{FF2B5EF4-FFF2-40B4-BE49-F238E27FC236}">
              <a16:creationId xmlns:a16="http://schemas.microsoft.com/office/drawing/2014/main" id="{074C730D-A19F-48D2-9B17-04916EA7A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57150</xdr:colOff>
      <xdr:row>6</xdr:row>
      <xdr:rowOff>114300</xdr:rowOff>
    </xdr:from>
    <xdr:to>
      <xdr:col>8</xdr:col>
      <xdr:colOff>139700</xdr:colOff>
      <xdr:row>15</xdr:row>
      <xdr:rowOff>95250</xdr:rowOff>
    </xdr:to>
    <xdr:sp macro="" textlink="">
      <xdr:nvSpPr>
        <xdr:cNvPr id="6" name="Rectangle: Rounded Corners 5">
          <a:extLst>
            <a:ext uri="{FF2B5EF4-FFF2-40B4-BE49-F238E27FC236}">
              <a16:creationId xmlns:a16="http://schemas.microsoft.com/office/drawing/2014/main" id="{B63EAB29-FE88-47B2-B052-B69FBAF28A63}"/>
            </a:ext>
          </a:extLst>
        </xdr:cNvPr>
        <xdr:cNvSpPr/>
      </xdr:nvSpPr>
      <xdr:spPr>
        <a:xfrm>
          <a:off x="2698750" y="1181100"/>
          <a:ext cx="2724150" cy="1581150"/>
        </a:xfrm>
        <a:prstGeom prst="roundRect">
          <a:avLst>
            <a:gd name="adj" fmla="val 4544"/>
          </a:avLst>
        </a:prstGeom>
        <a:solidFill>
          <a:srgbClr val="BEEFFF"/>
        </a:solidFill>
        <a:ln>
          <a:solidFill>
            <a:srgbClr val="004E63">
              <a:alpha val="65098"/>
            </a:srgb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120650</xdr:colOff>
      <xdr:row>6</xdr:row>
      <xdr:rowOff>158750</xdr:rowOff>
    </xdr:from>
    <xdr:to>
      <xdr:col>8</xdr:col>
      <xdr:colOff>114300</xdr:colOff>
      <xdr:row>15</xdr:row>
      <xdr:rowOff>31750</xdr:rowOff>
    </xdr:to>
    <xdr:graphicFrame macro="">
      <xdr:nvGraphicFramePr>
        <xdr:cNvPr id="9" name="Chart 8">
          <a:extLst>
            <a:ext uri="{FF2B5EF4-FFF2-40B4-BE49-F238E27FC236}">
              <a16:creationId xmlns:a16="http://schemas.microsoft.com/office/drawing/2014/main" id="{96EC3220-0294-478E-ADC8-D191BEF18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171450</xdr:colOff>
      <xdr:row>8</xdr:row>
      <xdr:rowOff>38100</xdr:rowOff>
    </xdr:from>
    <xdr:to>
      <xdr:col>12</xdr:col>
      <xdr:colOff>241300</xdr:colOff>
      <xdr:row>24</xdr:row>
      <xdr:rowOff>114300</xdr:rowOff>
    </xdr:to>
    <xdr:grpSp>
      <xdr:nvGrpSpPr>
        <xdr:cNvPr id="27" name="Group 26">
          <a:extLst>
            <a:ext uri="{FF2B5EF4-FFF2-40B4-BE49-F238E27FC236}">
              <a16:creationId xmlns:a16="http://schemas.microsoft.com/office/drawing/2014/main" id="{DFFCA19D-5D01-25D7-152D-8C870F3BCAFF}"/>
            </a:ext>
          </a:extLst>
        </xdr:cNvPr>
        <xdr:cNvGrpSpPr/>
      </xdr:nvGrpSpPr>
      <xdr:grpSpPr>
        <a:xfrm>
          <a:off x="5454650" y="1460500"/>
          <a:ext cx="2711450" cy="2921000"/>
          <a:chOff x="5461000" y="1167553"/>
          <a:chExt cx="3225800" cy="3149600"/>
        </a:xfrm>
        <a:effectLst>
          <a:outerShdw blurRad="63500" sx="102000" sy="102000" algn="ctr" rotWithShape="0">
            <a:prstClr val="black">
              <a:alpha val="40000"/>
            </a:prstClr>
          </a:outerShdw>
        </a:effectLst>
      </xdr:grpSpPr>
      <xdr:sp macro="" textlink="">
        <xdr:nvSpPr>
          <xdr:cNvPr id="12" name="Rectangle: Rounded Corners 11">
            <a:extLst>
              <a:ext uri="{FF2B5EF4-FFF2-40B4-BE49-F238E27FC236}">
                <a16:creationId xmlns:a16="http://schemas.microsoft.com/office/drawing/2014/main" id="{EAA9A89E-9D3C-A6D6-4FDE-216EFC659994}"/>
              </a:ext>
            </a:extLst>
          </xdr:cNvPr>
          <xdr:cNvSpPr/>
        </xdr:nvSpPr>
        <xdr:spPr>
          <a:xfrm>
            <a:off x="5461000" y="1167553"/>
            <a:ext cx="3225800" cy="3149600"/>
          </a:xfrm>
          <a:prstGeom prst="roundRect">
            <a:avLst>
              <a:gd name="adj" fmla="val 3663"/>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3" name="Chart 12">
            <a:extLst>
              <a:ext uri="{FF2B5EF4-FFF2-40B4-BE49-F238E27FC236}">
                <a16:creationId xmlns:a16="http://schemas.microsoft.com/office/drawing/2014/main" id="{7421432E-62FD-4EE3-AE42-5A2B9E2E8F72}"/>
              </a:ext>
            </a:extLst>
          </xdr:cNvPr>
          <xdr:cNvGraphicFramePr>
            <a:graphicFrameLocks/>
          </xdr:cNvGraphicFramePr>
        </xdr:nvGraphicFramePr>
        <xdr:xfrm>
          <a:off x="5510596" y="1291038"/>
          <a:ext cx="3143251" cy="29718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0</xdr:col>
      <xdr:colOff>76200</xdr:colOff>
      <xdr:row>15</xdr:row>
      <xdr:rowOff>127000</xdr:rowOff>
    </xdr:from>
    <xdr:to>
      <xdr:col>4</xdr:col>
      <xdr:colOff>6350</xdr:colOff>
      <xdr:row>24</xdr:row>
      <xdr:rowOff>88900</xdr:rowOff>
    </xdr:to>
    <xdr:graphicFrame macro="">
      <xdr:nvGraphicFramePr>
        <xdr:cNvPr id="15" name="Chart 14">
          <a:extLst>
            <a:ext uri="{FF2B5EF4-FFF2-40B4-BE49-F238E27FC236}">
              <a16:creationId xmlns:a16="http://schemas.microsoft.com/office/drawing/2014/main" id="{767F786B-21DD-43CC-ACB8-A1D5B46A1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241300</xdr:colOff>
      <xdr:row>10</xdr:row>
      <xdr:rowOff>38100</xdr:rowOff>
    </xdr:from>
    <xdr:to>
      <xdr:col>17</xdr:col>
      <xdr:colOff>431800</xdr:colOff>
      <xdr:row>24</xdr:row>
      <xdr:rowOff>101600</xdr:rowOff>
    </xdr:to>
    <xdr:grpSp>
      <xdr:nvGrpSpPr>
        <xdr:cNvPr id="31" name="Group 30">
          <a:extLst>
            <a:ext uri="{FF2B5EF4-FFF2-40B4-BE49-F238E27FC236}">
              <a16:creationId xmlns:a16="http://schemas.microsoft.com/office/drawing/2014/main" id="{855A3934-298B-13D0-E738-D21AFD24DEC0}"/>
            </a:ext>
          </a:extLst>
        </xdr:cNvPr>
        <xdr:cNvGrpSpPr/>
      </xdr:nvGrpSpPr>
      <xdr:grpSpPr>
        <a:xfrm>
          <a:off x="8166100" y="1816100"/>
          <a:ext cx="3492500" cy="2552700"/>
          <a:chOff x="8674750" y="0"/>
          <a:chExt cx="2983850" cy="2755900"/>
        </a:xfrm>
        <a:effectLst>
          <a:outerShdw blurRad="63500" sx="102000" sy="102000" algn="ctr" rotWithShape="0">
            <a:prstClr val="black">
              <a:alpha val="40000"/>
            </a:prstClr>
          </a:outerShdw>
        </a:effectLst>
      </xdr:grpSpPr>
      <xdr:sp macro="" textlink="">
        <xdr:nvSpPr>
          <xdr:cNvPr id="25" name="Rectangle: Rounded Corners 24">
            <a:extLst>
              <a:ext uri="{FF2B5EF4-FFF2-40B4-BE49-F238E27FC236}">
                <a16:creationId xmlns:a16="http://schemas.microsoft.com/office/drawing/2014/main" id="{DF28BAF8-C64D-4629-98C9-53236C86D3F5}"/>
              </a:ext>
            </a:extLst>
          </xdr:cNvPr>
          <xdr:cNvSpPr/>
        </xdr:nvSpPr>
        <xdr:spPr>
          <a:xfrm>
            <a:off x="8718550" y="0"/>
            <a:ext cx="2940050" cy="2755900"/>
          </a:xfrm>
          <a:prstGeom prst="roundRect">
            <a:avLst>
              <a:gd name="adj" fmla="val 5383"/>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4" name="Chart 23">
            <a:extLst>
              <a:ext uri="{FF2B5EF4-FFF2-40B4-BE49-F238E27FC236}">
                <a16:creationId xmlns:a16="http://schemas.microsoft.com/office/drawing/2014/main" id="{4D026150-2845-4449-BDAA-C2D0D796B509}"/>
              </a:ext>
            </a:extLst>
          </xdr:cNvPr>
          <xdr:cNvGraphicFramePr>
            <a:graphicFrameLocks/>
          </xdr:cNvGraphicFramePr>
        </xdr:nvGraphicFramePr>
        <xdr:xfrm>
          <a:off x="8674750" y="120650"/>
          <a:ext cx="2901950" cy="260985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4</xdr:col>
      <xdr:colOff>69850</xdr:colOff>
      <xdr:row>15</xdr:row>
      <xdr:rowOff>165100</xdr:rowOff>
    </xdr:from>
    <xdr:to>
      <xdr:col>8</xdr:col>
      <xdr:colOff>120650</xdr:colOff>
      <xdr:row>24</xdr:row>
      <xdr:rowOff>95250</xdr:rowOff>
    </xdr:to>
    <xdr:graphicFrame macro="">
      <xdr:nvGraphicFramePr>
        <xdr:cNvPr id="30" name="Chart 29">
          <a:extLst>
            <a:ext uri="{FF2B5EF4-FFF2-40B4-BE49-F238E27FC236}">
              <a16:creationId xmlns:a16="http://schemas.microsoft.com/office/drawing/2014/main" id="{11F4D89D-3CB6-4314-8EDB-E088A93A2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8</xdr:col>
      <xdr:colOff>196850</xdr:colOff>
      <xdr:row>0</xdr:row>
      <xdr:rowOff>19051</xdr:rowOff>
    </xdr:from>
    <xdr:to>
      <xdr:col>10</xdr:col>
      <xdr:colOff>82550</xdr:colOff>
      <xdr:row>4</xdr:row>
      <xdr:rowOff>107951</xdr:rowOff>
    </xdr:to>
    <mc:AlternateContent xmlns:mc="http://schemas.openxmlformats.org/markup-compatibility/2006" xmlns:a14="http://schemas.microsoft.com/office/drawing/2010/main">
      <mc:Choice Requires="a14">
        <xdr:graphicFrame macro="">
          <xdr:nvGraphicFramePr>
            <xdr:cNvPr id="33" name="Months (Order Date) 1">
              <a:extLst>
                <a:ext uri="{FF2B5EF4-FFF2-40B4-BE49-F238E27FC236}">
                  <a16:creationId xmlns:a16="http://schemas.microsoft.com/office/drawing/2014/main" id="{660F89B7-2622-EFB5-7C0C-690A2BA9B176}"/>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5480050" y="19051"/>
              <a:ext cx="1206500" cy="800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82550</xdr:colOff>
      <xdr:row>0</xdr:row>
      <xdr:rowOff>1</xdr:rowOff>
    </xdr:from>
    <xdr:to>
      <xdr:col>12</xdr:col>
      <xdr:colOff>209550</xdr:colOff>
      <xdr:row>4</xdr:row>
      <xdr:rowOff>146050</xdr:rowOff>
    </xdr:to>
    <mc:AlternateContent xmlns:mc="http://schemas.openxmlformats.org/markup-compatibility/2006" xmlns:a14="http://schemas.microsoft.com/office/drawing/2010/main">
      <mc:Choice Requires="a14">
        <xdr:graphicFrame macro="">
          <xdr:nvGraphicFramePr>
            <xdr:cNvPr id="34" name="Category 1">
              <a:extLst>
                <a:ext uri="{FF2B5EF4-FFF2-40B4-BE49-F238E27FC236}">
                  <a16:creationId xmlns:a16="http://schemas.microsoft.com/office/drawing/2014/main" id="{1E0D48B1-DA56-7A19-9288-661891221B5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686550" y="1"/>
              <a:ext cx="1447800" cy="857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234950</xdr:colOff>
      <xdr:row>0</xdr:row>
      <xdr:rowOff>12701</xdr:rowOff>
    </xdr:from>
    <xdr:to>
      <xdr:col>17</xdr:col>
      <xdr:colOff>482600</xdr:colOff>
      <xdr:row>6</xdr:row>
      <xdr:rowOff>88900</xdr:rowOff>
    </xdr:to>
    <mc:AlternateContent xmlns:mc="http://schemas.openxmlformats.org/markup-compatibility/2006" xmlns:a14="http://schemas.microsoft.com/office/drawing/2010/main">
      <mc:Choice Requires="a14">
        <xdr:graphicFrame macro="">
          <xdr:nvGraphicFramePr>
            <xdr:cNvPr id="35" name="Sub-Category 1">
              <a:extLst>
                <a:ext uri="{FF2B5EF4-FFF2-40B4-BE49-F238E27FC236}">
                  <a16:creationId xmlns:a16="http://schemas.microsoft.com/office/drawing/2014/main" id="{14BC4822-BA10-6E53-CFEB-1B2AB8514D6D}"/>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8159750" y="12701"/>
              <a:ext cx="3549650" cy="1142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190500</xdr:colOff>
      <xdr:row>4</xdr:row>
      <xdr:rowOff>120651</xdr:rowOff>
    </xdr:from>
    <xdr:to>
      <xdr:col>10</xdr:col>
      <xdr:colOff>50800</xdr:colOff>
      <xdr:row>8</xdr:row>
      <xdr:rowOff>12700</xdr:rowOff>
    </xdr:to>
    <mc:AlternateContent xmlns:mc="http://schemas.openxmlformats.org/markup-compatibility/2006" xmlns:a14="http://schemas.microsoft.com/office/drawing/2010/main">
      <mc:Choice Requires="a14">
        <xdr:graphicFrame macro="">
          <xdr:nvGraphicFramePr>
            <xdr:cNvPr id="36" name="Region 1">
              <a:extLst>
                <a:ext uri="{FF2B5EF4-FFF2-40B4-BE49-F238E27FC236}">
                  <a16:creationId xmlns:a16="http://schemas.microsoft.com/office/drawing/2014/main" id="{50B6FD75-D3E1-8F6E-00EF-EA95385B823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473700" y="831851"/>
              <a:ext cx="1181100" cy="603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82550</xdr:colOff>
      <xdr:row>4</xdr:row>
      <xdr:rowOff>158750</xdr:rowOff>
    </xdr:from>
    <xdr:to>
      <xdr:col>12</xdr:col>
      <xdr:colOff>209550</xdr:colOff>
      <xdr:row>8</xdr:row>
      <xdr:rowOff>25400</xdr:rowOff>
    </xdr:to>
    <mc:AlternateContent xmlns:mc="http://schemas.openxmlformats.org/markup-compatibility/2006" xmlns:a14="http://schemas.microsoft.com/office/drawing/2010/main">
      <mc:Choice Requires="a14">
        <xdr:graphicFrame macro="">
          <xdr:nvGraphicFramePr>
            <xdr:cNvPr id="37" name="Ship Mode">
              <a:extLst>
                <a:ext uri="{FF2B5EF4-FFF2-40B4-BE49-F238E27FC236}">
                  <a16:creationId xmlns:a16="http://schemas.microsoft.com/office/drawing/2014/main" id="{19909B45-2C36-D5B6-BB15-EF4060310E4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686550" y="869950"/>
              <a:ext cx="1447800" cy="577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279400</xdr:colOff>
      <xdr:row>6</xdr:row>
      <xdr:rowOff>107951</xdr:rowOff>
    </xdr:from>
    <xdr:to>
      <xdr:col>17</xdr:col>
      <xdr:colOff>469900</xdr:colOff>
      <xdr:row>10</xdr:row>
      <xdr:rowOff>12700</xdr:rowOff>
    </xdr:to>
    <mc:AlternateContent xmlns:mc="http://schemas.openxmlformats.org/markup-compatibility/2006" xmlns:a14="http://schemas.microsoft.com/office/drawing/2010/main">
      <mc:Choice Requires="a14">
        <xdr:graphicFrame macro="">
          <xdr:nvGraphicFramePr>
            <xdr:cNvPr id="39" name="Years (Order Date) 1">
              <a:extLst>
                <a:ext uri="{FF2B5EF4-FFF2-40B4-BE49-F238E27FC236}">
                  <a16:creationId xmlns:a16="http://schemas.microsoft.com/office/drawing/2014/main" id="{96166662-9C3D-EE9A-15F2-4671D3739288}"/>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8204200" y="1174751"/>
              <a:ext cx="3492500" cy="615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520700</xdr:colOff>
      <xdr:row>25</xdr:row>
      <xdr:rowOff>76200</xdr:rowOff>
    </xdr:from>
    <xdr:to>
      <xdr:col>17</xdr:col>
      <xdr:colOff>514350</xdr:colOff>
      <xdr:row>27</xdr:row>
      <xdr:rowOff>69850</xdr:rowOff>
    </xdr:to>
    <xdr:sp macro="" textlink="">
      <xdr:nvSpPr>
        <xdr:cNvPr id="32" name="Rectangle: Rounded Corners 31">
          <a:extLst>
            <a:ext uri="{FF2B5EF4-FFF2-40B4-BE49-F238E27FC236}">
              <a16:creationId xmlns:a16="http://schemas.microsoft.com/office/drawing/2014/main" id="{65135080-192A-4981-A38F-8860C7414449}"/>
            </a:ext>
          </a:extLst>
        </xdr:cNvPr>
        <xdr:cNvSpPr/>
      </xdr:nvSpPr>
      <xdr:spPr>
        <a:xfrm>
          <a:off x="7785100" y="4521200"/>
          <a:ext cx="3956050" cy="34925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1100" b="1">
              <a:latin typeface="Segoe UI" panose="020B0502040204020203" pitchFamily="34" charset="0"/>
              <a:cs typeface="Segoe UI" panose="020B0502040204020203" pitchFamily="34" charset="0"/>
            </a:rPr>
            <a:t>Created by Sunil Reddy | Sales Performance Dashboard |</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il kumar reddy punnati" refreshedDate="45990.338459606479" createdVersion="8" refreshedVersion="8" minRefreshableVersion="3" recordCount="1000" xr:uid="{ED5B7241-8215-4390-930F-C4485C4D5F74}">
  <cacheSource type="worksheet">
    <worksheetSource ref="A1:T1001" sheet="Sheet1"/>
  </cacheSource>
  <cacheFields count="27">
    <cacheField name="Order ID" numFmtId="0">
      <sharedItems/>
    </cacheField>
    <cacheField name="Order Date" numFmtId="14">
      <sharedItems containsSemiMixedTypes="0" containsNonDate="0" containsDate="1" containsString="0" minDate="2018-01-01T00:00:00" maxDate="2021-01-01T00:00:00" count="1000">
        <d v="2018-01-01T00:00:00"/>
        <d v="2018-01-02T02:18:23"/>
        <d v="2018-01-03T04:36:45"/>
        <d v="2018-01-04T06:55:08"/>
        <d v="2018-01-05T09:13:31"/>
        <d v="2018-01-06T11:31:54"/>
        <d v="2018-01-07T13:50:16"/>
        <d v="2018-01-08T16:08:39"/>
        <d v="2018-01-09T18:27:02"/>
        <d v="2018-01-10T20:45:24"/>
        <d v="2018-01-11T23:03:47"/>
        <d v="2018-01-13T01:22:10"/>
        <d v="2018-01-14T03:40:32"/>
        <d v="2018-01-15T05:58:55"/>
        <d v="2018-01-16T08:17:18"/>
        <d v="2018-01-17T10:35:41"/>
        <d v="2018-01-18T12:54:03"/>
        <d v="2018-01-19T15:12:26"/>
        <d v="2018-01-20T17:30:49"/>
        <d v="2018-01-21T19:49:11"/>
        <d v="2018-01-22T22:07:34"/>
        <d v="2018-01-24T00:25:57"/>
        <d v="2018-01-25T02:44:19"/>
        <d v="2018-01-26T05:02:42"/>
        <d v="2018-01-27T07:21:05"/>
        <d v="2018-01-28T09:39:28"/>
        <d v="2018-01-29T11:57:50"/>
        <d v="2018-01-30T14:16:13"/>
        <d v="2018-01-31T16:34:36"/>
        <d v="2018-02-01T18:52:58"/>
        <d v="2018-02-02T21:11:21"/>
        <d v="2018-02-03T23:29:44"/>
        <d v="2018-02-05T01:48:06"/>
        <d v="2018-02-06T04:06:29"/>
        <d v="2018-02-07T06:24:52"/>
        <d v="2018-02-08T08:43:15"/>
        <d v="2018-02-09T11:01:37"/>
        <d v="2018-02-10T13:20:00"/>
        <d v="2018-02-11T15:38:23"/>
        <d v="2018-02-12T17:56:45"/>
        <d v="2018-02-13T20:15:08"/>
        <d v="2018-02-14T22:33:31"/>
        <d v="2018-02-16T00:51:54"/>
        <d v="2018-02-17T03:10:16"/>
        <d v="2018-02-18T05:28:39"/>
        <d v="2018-02-19T07:47:02"/>
        <d v="2018-02-20T10:05:24"/>
        <d v="2018-02-21T12:23:47"/>
        <d v="2018-02-22T14:42:10"/>
        <d v="2018-02-23T17:00:32"/>
        <d v="2018-02-24T19:18:55"/>
        <d v="2018-02-25T21:37:18"/>
        <d v="2018-02-26T23:55:41"/>
        <d v="2018-02-28T02:14:03"/>
        <d v="2018-03-01T04:32:26"/>
        <d v="2018-03-02T06:50:49"/>
        <d v="2018-03-03T09:09:11"/>
        <d v="2018-03-04T11:27:34"/>
        <d v="2018-03-05T13:45:57"/>
        <d v="2018-03-06T16:04:19"/>
        <d v="2018-03-07T18:22:42"/>
        <d v="2018-03-08T20:41:05"/>
        <d v="2018-03-09T22:59:28"/>
        <d v="2018-03-11T01:17:50"/>
        <d v="2018-03-12T03:36:13"/>
        <d v="2018-03-13T05:54:36"/>
        <d v="2018-03-14T08:12:58"/>
        <d v="2018-03-15T10:31:21"/>
        <d v="2018-03-16T12:49:44"/>
        <d v="2018-03-17T15:08:06"/>
        <d v="2018-03-18T17:26:29"/>
        <d v="2018-03-19T19:44:52"/>
        <d v="2018-03-20T22:03:15"/>
        <d v="2018-03-22T00:21:37"/>
        <d v="2018-03-23T02:40:00"/>
        <d v="2018-03-24T04:58:23"/>
        <d v="2018-03-25T07:16:45"/>
        <d v="2018-03-26T09:35:08"/>
        <d v="2018-03-27T11:53:31"/>
        <d v="2018-03-28T14:11:54"/>
        <d v="2018-03-29T16:30:16"/>
        <d v="2018-03-30T18:48:39"/>
        <d v="2018-03-31T21:07:02"/>
        <d v="2018-04-01T23:25:24"/>
        <d v="2018-04-03T01:43:47"/>
        <d v="2018-04-04T04:02:10"/>
        <d v="2018-04-05T06:20:32"/>
        <d v="2018-04-06T08:38:55"/>
        <d v="2018-04-07T10:57:18"/>
        <d v="2018-04-08T13:15:41"/>
        <d v="2018-04-09T15:34:03"/>
        <d v="2018-04-10T17:52:26"/>
        <d v="2018-04-11T20:10:49"/>
        <d v="2018-04-12T22:29:11"/>
        <d v="2018-04-14T00:47:34"/>
        <d v="2018-04-15T03:05:57"/>
        <d v="2018-04-16T05:24:19"/>
        <d v="2018-04-17T07:42:42"/>
        <d v="2018-04-18T10:01:05"/>
        <d v="2018-04-19T12:19:28"/>
        <d v="2018-04-20T14:37:50"/>
        <d v="2018-04-21T16:56:13"/>
        <d v="2018-04-22T19:14:36"/>
        <d v="2018-04-23T21:32:58"/>
        <d v="2018-04-24T23:51:21"/>
        <d v="2018-04-26T02:09:44"/>
        <d v="2018-04-27T04:28:06"/>
        <d v="2018-04-28T06:46:29"/>
        <d v="2018-04-29T09:04:52"/>
        <d v="2018-04-30T11:23:15"/>
        <d v="2018-05-01T13:41:37"/>
        <d v="2018-05-02T16:00:00"/>
        <d v="2018-05-03T18:18:23"/>
        <d v="2018-05-04T20:36:45"/>
        <d v="2018-05-05T22:55:08"/>
        <d v="2018-05-07T01:13:31"/>
        <d v="2018-05-08T03:31:54"/>
        <d v="2018-05-09T05:50:16"/>
        <d v="2018-05-10T08:08:39"/>
        <d v="2018-05-11T10:27:02"/>
        <d v="2018-05-12T12:45:24"/>
        <d v="2018-05-13T15:03:47"/>
        <d v="2018-05-14T17:22:10"/>
        <d v="2018-05-15T19:40:32"/>
        <d v="2018-05-16T21:58:55"/>
        <d v="2018-05-18T00:17:18"/>
        <d v="2018-05-19T02:35:41"/>
        <d v="2018-05-20T04:54:03"/>
        <d v="2018-05-21T07:12:26"/>
        <d v="2018-05-22T09:30:49"/>
        <d v="2018-05-23T11:49:11"/>
        <d v="2018-05-24T14:07:34"/>
        <d v="2018-05-25T16:25:57"/>
        <d v="2018-05-26T18:44:19"/>
        <d v="2018-05-27T21:02:42"/>
        <d v="2018-05-28T23:21:05"/>
        <d v="2018-05-30T01:39:28"/>
        <d v="2018-05-31T03:57:50"/>
        <d v="2018-06-01T06:16:13"/>
        <d v="2018-06-02T08:34:36"/>
        <d v="2018-06-03T10:52:58"/>
        <d v="2018-06-04T13:11:21"/>
        <d v="2018-06-05T15:29:44"/>
        <d v="2018-06-06T17:48:06"/>
        <d v="2018-06-07T20:06:29"/>
        <d v="2018-06-08T22:24:52"/>
        <d v="2018-06-10T00:43:15"/>
        <d v="2018-06-11T03:01:37"/>
        <d v="2018-06-12T05:20:00"/>
        <d v="2018-06-13T07:38:23"/>
        <d v="2018-06-14T09:56:45"/>
        <d v="2018-06-15T12:15:08"/>
        <d v="2018-06-16T14:33:31"/>
        <d v="2018-06-17T16:51:54"/>
        <d v="2018-06-18T19:10:16"/>
        <d v="2018-06-19T21:28:39"/>
        <d v="2018-06-20T23:47:02"/>
        <d v="2018-06-22T02:05:24"/>
        <d v="2018-06-23T04:23:47"/>
        <d v="2018-06-24T06:42:10"/>
        <d v="2018-06-25T09:00:32"/>
        <d v="2018-06-26T11:18:55"/>
        <d v="2018-06-27T13:37:18"/>
        <d v="2018-06-28T15:55:41"/>
        <d v="2018-06-29T18:14:03"/>
        <d v="2018-06-30T20:32:26"/>
        <d v="2018-07-01T22:50:49"/>
        <d v="2018-07-03T01:09:11"/>
        <d v="2018-07-04T03:27:34"/>
        <d v="2018-07-05T05:45:57"/>
        <d v="2018-07-06T08:04:19"/>
        <d v="2018-07-07T10:22:42"/>
        <d v="2018-07-08T12:41:05"/>
        <d v="2018-07-09T14:59:28"/>
        <d v="2018-07-10T17:17:50"/>
        <d v="2018-07-11T19:36:13"/>
        <d v="2018-07-12T21:54:36"/>
        <d v="2018-07-14T00:12:58"/>
        <d v="2018-07-15T02:31:21"/>
        <d v="2018-07-16T04:49:44"/>
        <d v="2018-07-17T07:08:06"/>
        <d v="2018-07-18T09:26:29"/>
        <d v="2018-07-19T11:44:52"/>
        <d v="2018-07-20T14:03:15"/>
        <d v="2018-07-21T16:21:37"/>
        <d v="2018-07-22T18:40:00"/>
        <d v="2018-07-23T20:58:23"/>
        <d v="2018-07-24T23:16:45"/>
        <d v="2018-07-26T01:35:08"/>
        <d v="2018-07-27T03:53:31"/>
        <d v="2018-07-28T06:11:54"/>
        <d v="2018-07-29T08:30:16"/>
        <d v="2018-07-30T10:48:39"/>
        <d v="2018-07-31T13:07:02"/>
        <d v="2018-08-01T15:25:24"/>
        <d v="2018-08-02T17:43:47"/>
        <d v="2018-08-03T20:02:10"/>
        <d v="2018-08-04T22:20:32"/>
        <d v="2018-08-06T00:38:55"/>
        <d v="2018-08-07T02:57:18"/>
        <d v="2018-08-08T05:15:41"/>
        <d v="2018-08-09T07:34:03"/>
        <d v="2018-08-10T09:52:26"/>
        <d v="2018-08-11T12:10:49"/>
        <d v="2018-08-12T14:29:11"/>
        <d v="2018-08-13T16:47:34"/>
        <d v="2018-08-14T19:05:57"/>
        <d v="2018-08-15T21:24:19"/>
        <d v="2018-08-16T23:42:42"/>
        <d v="2018-08-18T02:01:05"/>
        <d v="2018-08-19T04:19:28"/>
        <d v="2018-08-20T06:37:50"/>
        <d v="2018-08-21T08:56:13"/>
        <d v="2018-08-22T11:14:36"/>
        <d v="2018-08-23T13:32:58"/>
        <d v="2018-08-24T15:51:21"/>
        <d v="2018-08-25T18:09:44"/>
        <d v="2018-08-26T20:28:06"/>
        <d v="2018-08-27T22:46:29"/>
        <d v="2018-08-29T01:04:52"/>
        <d v="2018-08-30T03:23:15"/>
        <d v="2018-08-31T05:41:37"/>
        <d v="2018-09-01T08:00:00"/>
        <d v="2018-09-02T10:18:23"/>
        <d v="2018-09-03T12:36:45"/>
        <d v="2018-09-04T14:55:08"/>
        <d v="2018-09-05T17:13:31"/>
        <d v="2018-09-06T19:31:54"/>
        <d v="2018-09-07T21:50:16"/>
        <d v="2018-09-09T00:08:39"/>
        <d v="2018-09-10T02:27:02"/>
        <d v="2018-09-11T04:45:24"/>
        <d v="2018-09-12T07:03:47"/>
        <d v="2018-09-13T09:22:10"/>
        <d v="2018-09-14T11:40:32"/>
        <d v="2018-09-15T13:58:55"/>
        <d v="2018-09-16T16:17:18"/>
        <d v="2018-09-17T18:35:41"/>
        <d v="2018-09-18T20:54:03"/>
        <d v="2018-09-19T23:12:26"/>
        <d v="2018-09-21T01:30:49"/>
        <d v="2018-09-22T03:49:11"/>
        <d v="2018-09-23T06:07:34"/>
        <d v="2018-09-24T08:25:57"/>
        <d v="2018-09-25T10:44:19"/>
        <d v="2018-09-26T13:02:42"/>
        <d v="2018-09-27T15:21:05"/>
        <d v="2018-09-28T17:39:28"/>
        <d v="2018-09-29T19:57:50"/>
        <d v="2018-09-30T22:16:13"/>
        <d v="2018-10-02T00:34:36"/>
        <d v="2018-10-03T02:52:58"/>
        <d v="2018-10-04T05:11:21"/>
        <d v="2018-10-05T07:29:44"/>
        <d v="2018-10-06T09:48:06"/>
        <d v="2018-10-07T12:06:29"/>
        <d v="2018-10-08T14:24:52"/>
        <d v="2018-10-09T16:43:15"/>
        <d v="2018-10-10T19:01:37"/>
        <d v="2018-10-11T21:20:00"/>
        <d v="2018-10-12T23:38:23"/>
        <d v="2018-10-14T01:56:45"/>
        <d v="2018-10-15T04:15:08"/>
        <d v="2018-10-16T06:33:31"/>
        <d v="2018-10-17T08:51:54"/>
        <d v="2018-10-18T11:10:16"/>
        <d v="2018-10-19T13:28:39"/>
        <d v="2018-10-20T15:47:02"/>
        <d v="2018-10-21T18:05:24"/>
        <d v="2018-10-22T20:23:47"/>
        <d v="2018-10-23T22:42:10"/>
        <d v="2018-10-25T01:00:32"/>
        <d v="2018-10-26T03:18:55"/>
        <d v="2018-10-27T05:37:18"/>
        <d v="2018-10-28T07:55:41"/>
        <d v="2018-10-29T10:14:03"/>
        <d v="2018-10-30T12:32:26"/>
        <d v="2018-10-31T14:50:49"/>
        <d v="2018-11-01T17:09:11"/>
        <d v="2018-11-02T19:27:34"/>
        <d v="2018-11-03T21:45:57"/>
        <d v="2018-11-05T00:04:19"/>
        <d v="2018-11-06T02:22:42"/>
        <d v="2018-11-07T04:41:05"/>
        <d v="2018-11-08T06:59:28"/>
        <d v="2018-11-09T09:17:50"/>
        <d v="2018-11-10T11:36:13"/>
        <d v="2018-11-11T13:54:36"/>
        <d v="2018-11-12T16:12:58"/>
        <d v="2018-11-13T18:31:21"/>
        <d v="2018-11-14T20:49:44"/>
        <d v="2018-11-15T23:08:06"/>
        <d v="2018-11-17T01:26:29"/>
        <d v="2018-11-18T03:44:52"/>
        <d v="2018-11-19T06:03:15"/>
        <d v="2018-11-20T08:21:37"/>
        <d v="2018-11-21T10:40:00"/>
        <d v="2018-11-22T12:58:23"/>
        <d v="2018-11-23T15:16:45"/>
        <d v="2018-11-24T17:35:08"/>
        <d v="2018-11-25T19:53:31"/>
        <d v="2018-11-26T22:11:54"/>
        <d v="2018-11-28T00:30:16"/>
        <d v="2018-11-29T02:48:39"/>
        <d v="2018-11-30T05:07:02"/>
        <d v="2018-12-01T07:25:24"/>
        <d v="2018-12-02T09:43:47"/>
        <d v="2018-12-03T12:02:10"/>
        <d v="2018-12-04T14:20:32"/>
        <d v="2018-12-05T16:38:55"/>
        <d v="2018-12-06T18:57:18"/>
        <d v="2018-12-07T21:15:41"/>
        <d v="2018-12-08T23:34:03"/>
        <d v="2018-12-10T01:52:26"/>
        <d v="2018-12-11T04:10:49"/>
        <d v="2018-12-12T06:29:11"/>
        <d v="2018-12-13T08:47:34"/>
        <d v="2018-12-14T11:05:57"/>
        <d v="2018-12-15T13:24:19"/>
        <d v="2018-12-16T15:42:42"/>
        <d v="2018-12-17T18:01:05"/>
        <d v="2018-12-18T20:19:28"/>
        <d v="2018-12-19T22:37:50"/>
        <d v="2018-12-21T00:56:13"/>
        <d v="2018-12-22T03:14:36"/>
        <d v="2018-12-23T05:32:58"/>
        <d v="2018-12-24T07:51:21"/>
        <d v="2018-12-25T10:09:44"/>
        <d v="2018-12-26T12:28:06"/>
        <d v="2018-12-27T14:46:29"/>
        <d v="2018-12-28T17:04:52"/>
        <d v="2018-12-29T19:23:15"/>
        <d v="2018-12-30T21:41:37"/>
        <d v="2019-01-01T00:00:00"/>
        <d v="2019-01-02T02:18:23"/>
        <d v="2019-01-03T04:36:45"/>
        <d v="2019-01-04T06:55:08"/>
        <d v="2019-01-05T09:13:31"/>
        <d v="2019-01-06T11:31:54"/>
        <d v="2019-01-07T13:50:16"/>
        <d v="2019-01-08T16:08:39"/>
        <d v="2019-01-09T18:27:02"/>
        <d v="2019-01-10T20:45:24"/>
        <d v="2019-01-11T23:03:47"/>
        <d v="2019-01-13T01:22:10"/>
        <d v="2019-01-14T03:40:32"/>
        <d v="2019-01-15T05:58:55"/>
        <d v="2019-01-16T08:17:18"/>
        <d v="2019-01-17T10:35:41"/>
        <d v="2019-01-18T12:54:03"/>
        <d v="2019-01-19T15:12:26"/>
        <d v="2019-01-20T17:30:49"/>
        <d v="2019-01-21T19:49:11"/>
        <d v="2019-01-22T22:07:34"/>
        <d v="2019-01-24T00:25:57"/>
        <d v="2019-01-25T02:44:19"/>
        <d v="2019-01-26T05:02:42"/>
        <d v="2019-01-27T07:21:05"/>
        <d v="2019-01-28T09:39:28"/>
        <d v="2019-01-29T11:57:50"/>
        <d v="2019-01-30T14:16:13"/>
        <d v="2019-01-31T16:34:36"/>
        <d v="2019-02-01T18:52:58"/>
        <d v="2019-02-02T21:11:21"/>
        <d v="2019-02-03T23:29:44"/>
        <d v="2019-02-05T01:48:06"/>
        <d v="2019-02-06T04:06:29"/>
        <d v="2019-02-07T06:24:52"/>
        <d v="2019-02-08T08:43:15"/>
        <d v="2019-02-09T11:01:37"/>
        <d v="2019-02-10T13:20:00"/>
        <d v="2019-02-11T15:38:23"/>
        <d v="2019-02-12T17:56:45"/>
        <d v="2019-02-13T20:15:08"/>
        <d v="2019-02-14T22:33:31"/>
        <d v="2019-02-16T00:51:54"/>
        <d v="2019-02-17T03:10:16"/>
        <d v="2019-02-18T05:28:39"/>
        <d v="2019-02-19T07:47:02"/>
        <d v="2019-02-20T10:05:24"/>
        <d v="2019-02-21T12:23:47"/>
        <d v="2019-02-22T14:42:10"/>
        <d v="2019-02-23T17:00:32"/>
        <d v="2019-02-24T19:18:55"/>
        <d v="2019-02-25T21:37:18"/>
        <d v="2019-02-26T23:55:41"/>
        <d v="2019-02-28T02:14:03"/>
        <d v="2019-03-01T04:32:26"/>
        <d v="2019-03-02T06:50:49"/>
        <d v="2019-03-03T09:09:11"/>
        <d v="2019-03-04T11:27:34"/>
        <d v="2019-03-05T13:45:57"/>
        <d v="2019-03-06T16:04:19"/>
        <d v="2019-03-07T18:22:42"/>
        <d v="2019-03-08T20:41:05"/>
        <d v="2019-03-09T22:59:28"/>
        <d v="2019-03-11T01:17:50"/>
        <d v="2019-03-12T03:36:13"/>
        <d v="2019-03-13T05:54:36"/>
        <d v="2019-03-14T08:12:58"/>
        <d v="2019-03-15T10:31:21"/>
        <d v="2019-03-16T12:49:44"/>
        <d v="2019-03-17T15:08:06"/>
        <d v="2019-03-18T17:26:29"/>
        <d v="2019-03-19T19:44:52"/>
        <d v="2019-03-20T22:03:15"/>
        <d v="2019-03-22T00:21:37"/>
        <d v="2019-03-23T02:40:00"/>
        <d v="2019-03-24T04:58:23"/>
        <d v="2019-03-25T07:16:45"/>
        <d v="2019-03-26T09:35:08"/>
        <d v="2019-03-27T11:53:31"/>
        <d v="2019-03-28T14:11:54"/>
        <d v="2019-03-29T16:30:16"/>
        <d v="2019-03-30T18:48:39"/>
        <d v="2019-03-31T21:07:02"/>
        <d v="2019-04-01T23:25:24"/>
        <d v="2019-04-03T01:43:47"/>
        <d v="2019-04-04T04:02:10"/>
        <d v="2019-04-05T06:20:32"/>
        <d v="2019-04-06T08:38:55"/>
        <d v="2019-04-07T10:57:18"/>
        <d v="2019-04-08T13:15:41"/>
        <d v="2019-04-09T15:34:03"/>
        <d v="2019-04-10T17:52:26"/>
        <d v="2019-04-11T20:10:49"/>
        <d v="2019-04-12T22:29:11"/>
        <d v="2019-04-14T00:47:34"/>
        <d v="2019-04-15T03:05:57"/>
        <d v="2019-04-16T05:24:19"/>
        <d v="2019-04-17T07:42:42"/>
        <d v="2019-04-18T10:01:05"/>
        <d v="2019-04-19T12:19:28"/>
        <d v="2019-04-20T14:37:50"/>
        <d v="2019-04-21T16:56:13"/>
        <d v="2019-04-22T19:14:36"/>
        <d v="2019-04-23T21:32:58"/>
        <d v="2019-04-24T23:51:21"/>
        <d v="2019-04-26T02:09:44"/>
        <d v="2019-04-27T04:28:06"/>
        <d v="2019-04-28T06:46:29"/>
        <d v="2019-04-29T09:04:52"/>
        <d v="2019-04-30T11:23:15"/>
        <d v="2019-05-01T13:41:37"/>
        <d v="2019-05-02T16:00:00"/>
        <d v="2019-05-03T18:18:23"/>
        <d v="2019-05-04T20:36:45"/>
        <d v="2019-05-05T22:55:08"/>
        <d v="2019-05-07T01:13:31"/>
        <d v="2019-05-08T03:31:54"/>
        <d v="2019-05-09T05:50:16"/>
        <d v="2019-05-10T08:08:39"/>
        <d v="2019-05-11T10:27:02"/>
        <d v="2019-05-12T12:45:24"/>
        <d v="2019-05-13T15:03:47"/>
        <d v="2019-05-14T17:22:10"/>
        <d v="2019-05-15T19:40:32"/>
        <d v="2019-05-16T21:58:55"/>
        <d v="2019-05-18T00:17:18"/>
        <d v="2019-05-19T02:35:41"/>
        <d v="2019-05-20T04:54:03"/>
        <d v="2019-05-21T07:12:26"/>
        <d v="2019-05-22T09:30:49"/>
        <d v="2019-05-23T11:49:11"/>
        <d v="2019-05-24T14:07:34"/>
        <d v="2019-05-25T16:25:57"/>
        <d v="2019-05-26T18:44:19"/>
        <d v="2019-05-27T21:02:42"/>
        <d v="2019-05-28T23:21:05"/>
        <d v="2019-05-30T01:39:28"/>
        <d v="2019-05-31T03:57:50"/>
        <d v="2019-06-01T06:16:13"/>
        <d v="2019-06-02T08:34:36"/>
        <d v="2019-06-03T10:52:58"/>
        <d v="2019-06-04T13:11:21"/>
        <d v="2019-06-05T15:29:44"/>
        <d v="2019-06-06T17:48:06"/>
        <d v="2019-06-07T20:06:29"/>
        <d v="2019-06-08T22:24:52"/>
        <d v="2019-06-10T00:43:15"/>
        <d v="2019-06-11T03:01:37"/>
        <d v="2019-06-12T05:20:00"/>
        <d v="2019-06-13T07:38:23"/>
        <d v="2019-06-14T09:56:45"/>
        <d v="2019-06-15T12:15:08"/>
        <d v="2019-06-16T14:33:31"/>
        <d v="2019-06-17T16:51:54"/>
        <d v="2019-06-18T19:10:16"/>
        <d v="2019-06-19T21:28:39"/>
        <d v="2019-06-20T23:47:02"/>
        <d v="2019-06-22T02:05:24"/>
        <d v="2019-06-23T04:23:47"/>
        <d v="2019-06-24T06:42:10"/>
        <d v="2019-06-25T09:00:32"/>
        <d v="2019-06-26T11:18:55"/>
        <d v="2019-06-27T13:37:18"/>
        <d v="2019-06-28T15:55:41"/>
        <d v="2019-06-29T18:14:03"/>
        <d v="2019-06-30T20:32:26"/>
        <d v="2019-07-01T22:50:49"/>
        <d v="2019-07-03T01:09:11"/>
        <d v="2019-07-04T03:27:34"/>
        <d v="2019-07-05T05:45:57"/>
        <d v="2019-07-06T08:04:19"/>
        <d v="2019-07-07T10:22:42"/>
        <d v="2019-07-08T12:41:05"/>
        <d v="2019-07-09T14:59:28"/>
        <d v="2019-07-10T17:17:50"/>
        <d v="2019-07-11T19:36:13"/>
        <d v="2019-07-12T21:54:36"/>
        <d v="2019-07-14T00:12:58"/>
        <d v="2019-07-15T02:31:21"/>
        <d v="2019-07-16T04:49:44"/>
        <d v="2019-07-17T07:08:06"/>
        <d v="2019-07-18T09:26:29"/>
        <d v="2019-07-19T11:44:52"/>
        <d v="2019-07-20T14:03:15"/>
        <d v="2019-07-21T16:21:37"/>
        <d v="2019-07-22T18:40:00"/>
        <d v="2019-07-23T20:58:23"/>
        <d v="2019-07-24T23:16:45"/>
        <d v="2019-07-26T01:35:08"/>
        <d v="2019-07-27T03:53:31"/>
        <d v="2019-07-28T06:11:54"/>
        <d v="2019-07-29T08:30:16"/>
        <d v="2019-07-30T10:48:39"/>
        <d v="2019-07-31T13:07:02"/>
        <d v="2019-08-01T15:25:24"/>
        <d v="2019-08-02T17:43:47"/>
        <d v="2019-08-03T20:02:10"/>
        <d v="2019-08-04T22:20:32"/>
        <d v="2019-08-06T00:38:55"/>
        <d v="2019-08-07T02:57:18"/>
        <d v="2019-08-08T05:15:41"/>
        <d v="2019-08-09T07:34:03"/>
        <d v="2019-08-10T09:52:26"/>
        <d v="2019-08-11T12:10:49"/>
        <d v="2019-08-12T14:29:11"/>
        <d v="2019-08-13T16:47:34"/>
        <d v="2019-08-14T19:05:57"/>
        <d v="2019-08-15T21:24:19"/>
        <d v="2019-08-16T23:42:42"/>
        <d v="2019-08-18T02:01:05"/>
        <d v="2019-08-19T04:19:28"/>
        <d v="2019-08-20T06:37:50"/>
        <d v="2019-08-21T08:56:13"/>
        <d v="2019-08-22T11:14:36"/>
        <d v="2019-08-23T13:32:58"/>
        <d v="2019-08-24T15:51:21"/>
        <d v="2019-08-25T18:09:44"/>
        <d v="2019-08-26T20:28:06"/>
        <d v="2019-08-27T22:46:29"/>
        <d v="2019-08-29T01:04:52"/>
        <d v="2019-08-30T03:23:15"/>
        <d v="2019-08-31T05:41:37"/>
        <d v="2019-09-01T08:00:00"/>
        <d v="2019-09-02T10:18:23"/>
        <d v="2019-09-03T12:36:45"/>
        <d v="2019-09-04T14:55:08"/>
        <d v="2019-09-05T17:13:31"/>
        <d v="2019-09-06T19:31:54"/>
        <d v="2019-09-07T21:50:16"/>
        <d v="2019-09-09T00:08:39"/>
        <d v="2019-09-10T02:27:02"/>
        <d v="2019-09-11T04:45:24"/>
        <d v="2019-09-12T07:03:47"/>
        <d v="2019-09-13T09:22:10"/>
        <d v="2019-09-14T11:40:32"/>
        <d v="2019-09-15T13:58:55"/>
        <d v="2019-09-16T16:17:18"/>
        <d v="2019-09-17T18:35:41"/>
        <d v="2019-09-18T20:54:03"/>
        <d v="2019-09-19T23:12:26"/>
        <d v="2019-09-21T01:30:49"/>
        <d v="2019-09-22T03:49:11"/>
        <d v="2019-09-23T06:07:34"/>
        <d v="2019-09-24T08:25:57"/>
        <d v="2019-09-25T10:44:19"/>
        <d v="2019-09-26T13:02:42"/>
        <d v="2019-09-27T15:21:05"/>
        <d v="2019-09-28T17:39:28"/>
        <d v="2019-09-29T19:57:50"/>
        <d v="2019-09-30T22:16:13"/>
        <d v="2019-10-02T00:34:36"/>
        <d v="2019-10-03T02:52:58"/>
        <d v="2019-10-04T05:11:21"/>
        <d v="2019-10-05T07:29:44"/>
        <d v="2019-10-06T09:48:06"/>
        <d v="2019-10-07T12:06:29"/>
        <d v="2019-10-08T14:24:52"/>
        <d v="2019-10-09T16:43:15"/>
        <d v="2019-10-10T19:01:37"/>
        <d v="2019-10-11T21:20:00"/>
        <d v="2019-10-12T23:38:23"/>
        <d v="2019-10-14T01:56:45"/>
        <d v="2019-10-15T04:15:08"/>
        <d v="2019-10-16T06:33:31"/>
        <d v="2019-10-17T08:51:54"/>
        <d v="2019-10-18T11:10:16"/>
        <d v="2019-10-19T13:28:39"/>
        <d v="2019-10-20T15:47:02"/>
        <d v="2019-10-21T18:05:24"/>
        <d v="2019-10-22T20:23:47"/>
        <d v="2019-10-23T22:42:10"/>
        <d v="2019-10-25T01:00:32"/>
        <d v="2019-10-26T03:18:55"/>
        <d v="2019-10-27T05:37:18"/>
        <d v="2019-10-28T07:55:41"/>
        <d v="2019-10-29T10:14:03"/>
        <d v="2019-10-30T12:32:26"/>
        <d v="2019-10-31T14:50:49"/>
        <d v="2019-11-01T17:09:11"/>
        <d v="2019-11-02T19:27:34"/>
        <d v="2019-11-03T21:45:57"/>
        <d v="2019-11-05T00:04:19"/>
        <d v="2019-11-06T02:22:42"/>
        <d v="2019-11-07T04:41:05"/>
        <d v="2019-11-08T06:59:28"/>
        <d v="2019-11-09T09:17:50"/>
        <d v="2019-11-10T11:36:13"/>
        <d v="2019-11-11T13:54:36"/>
        <d v="2019-11-12T16:12:58"/>
        <d v="2019-11-13T18:31:21"/>
        <d v="2019-11-14T20:49:44"/>
        <d v="2019-11-15T23:08:06"/>
        <d v="2019-11-17T01:26:29"/>
        <d v="2019-11-18T03:44:52"/>
        <d v="2019-11-19T06:03:15"/>
        <d v="2019-11-20T08:21:37"/>
        <d v="2019-11-21T10:40:00"/>
        <d v="2019-11-22T12:58:23"/>
        <d v="2019-11-23T15:16:45"/>
        <d v="2019-11-24T17:35:08"/>
        <d v="2019-11-25T19:53:31"/>
        <d v="2019-11-26T22:11:54"/>
        <d v="2019-11-28T00:30:16"/>
        <d v="2019-11-29T02:48:39"/>
        <d v="2019-11-30T05:07:02"/>
        <d v="2019-12-01T07:25:24"/>
        <d v="2019-12-02T09:43:47"/>
        <d v="2019-12-03T12:02:10"/>
        <d v="2019-12-04T14:20:32"/>
        <d v="2019-12-05T16:38:55"/>
        <d v="2019-12-06T18:57:18"/>
        <d v="2019-12-07T21:15:41"/>
        <d v="2019-12-08T23:34:03"/>
        <d v="2019-12-10T01:52:26"/>
        <d v="2019-12-11T04:10:49"/>
        <d v="2019-12-12T06:29:11"/>
        <d v="2019-12-13T08:47:34"/>
        <d v="2019-12-14T11:05:57"/>
        <d v="2019-12-15T13:24:19"/>
        <d v="2019-12-16T15:42:42"/>
        <d v="2019-12-17T18:01:05"/>
        <d v="2019-12-18T20:19:28"/>
        <d v="2019-12-19T22:37:50"/>
        <d v="2019-12-21T00:56:13"/>
        <d v="2019-12-22T03:14:36"/>
        <d v="2019-12-23T05:32:58"/>
        <d v="2019-12-24T07:51:21"/>
        <d v="2019-12-25T10:09:44"/>
        <d v="2019-12-26T12:28:06"/>
        <d v="2019-12-27T14:46:29"/>
        <d v="2019-12-28T17:04:52"/>
        <d v="2019-12-29T19:23:15"/>
        <d v="2019-12-30T21:41:37"/>
        <d v="2020-01-01T00:00:00"/>
        <d v="2020-01-02T02:18:23"/>
        <d v="2020-01-03T04:36:45"/>
        <d v="2020-01-04T06:55:08"/>
        <d v="2020-01-05T09:13:31"/>
        <d v="2020-01-06T11:31:54"/>
        <d v="2020-01-07T13:50:16"/>
        <d v="2020-01-08T16:08:39"/>
        <d v="2020-01-09T18:27:02"/>
        <d v="2020-01-10T20:45:24"/>
        <d v="2020-01-11T23:03:47"/>
        <d v="2020-01-13T01:22:10"/>
        <d v="2020-01-14T03:40:32"/>
        <d v="2020-01-15T05:58:55"/>
        <d v="2020-01-16T08:17:18"/>
        <d v="2020-01-17T10:35:41"/>
        <d v="2020-01-18T12:54:03"/>
        <d v="2020-01-19T15:12:26"/>
        <d v="2020-01-20T17:30:49"/>
        <d v="2020-01-21T19:49:11"/>
        <d v="2020-01-22T22:07:34"/>
        <d v="2020-01-24T00:25:57"/>
        <d v="2020-01-25T02:44:19"/>
        <d v="2020-01-26T05:02:42"/>
        <d v="2020-01-27T07:21:05"/>
        <d v="2020-01-28T09:39:28"/>
        <d v="2020-01-29T11:57:50"/>
        <d v="2020-01-30T14:16:13"/>
        <d v="2020-01-31T16:34:36"/>
        <d v="2020-02-01T18:52:58"/>
        <d v="2020-02-02T21:11:21"/>
        <d v="2020-02-03T23:29:44"/>
        <d v="2020-02-05T01:48:06"/>
        <d v="2020-02-06T04:06:29"/>
        <d v="2020-02-07T06:24:52"/>
        <d v="2020-02-08T08:43:15"/>
        <d v="2020-02-09T11:01:37"/>
        <d v="2020-02-10T13:20:00"/>
        <d v="2020-02-11T15:38:23"/>
        <d v="2020-02-12T17:56:45"/>
        <d v="2020-02-13T20:15:08"/>
        <d v="2020-02-14T22:33:31"/>
        <d v="2020-02-16T00:51:54"/>
        <d v="2020-02-17T03:10:16"/>
        <d v="2020-02-18T05:28:39"/>
        <d v="2020-02-19T07:47:02"/>
        <d v="2020-02-20T10:05:24"/>
        <d v="2020-02-21T12:23:47"/>
        <d v="2020-02-22T14:42:10"/>
        <d v="2020-02-23T17:00:32"/>
        <d v="2020-02-24T19:18:55"/>
        <d v="2020-02-25T21:37:18"/>
        <d v="2020-02-26T23:55:41"/>
        <d v="2020-02-28T02:14:03"/>
        <d v="2020-02-29T04:32:26"/>
        <d v="2020-03-01T06:50:49"/>
        <d v="2020-03-02T09:09:11"/>
        <d v="2020-03-03T11:27:34"/>
        <d v="2020-03-04T13:45:57"/>
        <d v="2020-03-05T16:04:19"/>
        <d v="2020-03-06T18:22:42"/>
        <d v="2020-03-07T20:41:05"/>
        <d v="2020-03-08T22:59:28"/>
        <d v="2020-03-10T01:17:50"/>
        <d v="2020-03-11T03:36:13"/>
        <d v="2020-03-12T05:54:36"/>
        <d v="2020-03-13T08:12:58"/>
        <d v="2020-03-14T10:31:21"/>
        <d v="2020-03-15T12:49:44"/>
        <d v="2020-03-16T15:08:06"/>
        <d v="2020-03-17T17:26:29"/>
        <d v="2020-03-18T19:44:52"/>
        <d v="2020-03-19T22:03:15"/>
        <d v="2020-03-21T00:21:37"/>
        <d v="2020-03-22T02:40:00"/>
        <d v="2020-03-23T04:58:23"/>
        <d v="2020-03-24T07:16:45"/>
        <d v="2020-03-25T09:35:08"/>
        <d v="2020-03-26T11:53:31"/>
        <d v="2020-03-27T14:11:54"/>
        <d v="2020-03-28T16:30:16"/>
        <d v="2020-03-29T18:48:39"/>
        <d v="2020-03-30T21:07:02"/>
        <d v="2020-03-31T23:25:24"/>
        <d v="2020-04-02T01:43:47"/>
        <d v="2020-04-03T04:02:10"/>
        <d v="2020-04-04T06:20:32"/>
        <d v="2020-04-05T08:38:55"/>
        <d v="2020-04-06T10:57:18"/>
        <d v="2020-04-07T13:15:41"/>
        <d v="2020-04-08T15:34:03"/>
        <d v="2020-04-09T17:52:26"/>
        <d v="2020-04-10T20:10:49"/>
        <d v="2020-04-11T22:29:11"/>
        <d v="2020-04-13T00:47:34"/>
        <d v="2020-04-14T03:05:57"/>
        <d v="2020-04-15T05:24:19"/>
        <d v="2020-04-16T07:42:42"/>
        <d v="2020-04-17T10:01:05"/>
        <d v="2020-04-18T12:19:28"/>
        <d v="2020-04-19T14:37:50"/>
        <d v="2020-04-20T16:56:13"/>
        <d v="2020-04-21T19:14:36"/>
        <d v="2020-04-22T21:32:58"/>
        <d v="2020-04-23T23:51:21"/>
        <d v="2020-04-25T02:09:44"/>
        <d v="2020-04-26T04:28:06"/>
        <d v="2020-04-27T06:46:29"/>
        <d v="2020-04-28T09:04:52"/>
        <d v="2020-04-29T11:23:15"/>
        <d v="2020-04-30T13:41:37"/>
        <d v="2020-05-01T16:00:00"/>
        <d v="2020-05-02T18:18:23"/>
        <d v="2020-05-03T20:36:45"/>
        <d v="2020-05-04T22:55:08"/>
        <d v="2020-05-06T01:13:31"/>
        <d v="2020-05-07T03:31:54"/>
        <d v="2020-05-08T05:50:16"/>
        <d v="2020-05-09T08:08:39"/>
        <d v="2020-05-10T10:27:02"/>
        <d v="2020-05-11T12:45:24"/>
        <d v="2020-05-12T15:03:47"/>
        <d v="2020-05-13T17:22:10"/>
        <d v="2020-05-14T19:40:32"/>
        <d v="2020-05-15T21:58:55"/>
        <d v="2020-05-17T00:17:18"/>
        <d v="2020-05-18T02:35:41"/>
        <d v="2020-05-19T04:54:03"/>
        <d v="2020-05-20T07:12:26"/>
        <d v="2020-05-21T09:30:49"/>
        <d v="2020-05-22T11:49:11"/>
        <d v="2020-05-23T14:07:34"/>
        <d v="2020-05-24T16:25:57"/>
        <d v="2020-05-25T18:44:19"/>
        <d v="2020-05-26T21:02:42"/>
        <d v="2020-05-27T23:21:05"/>
        <d v="2020-05-29T01:39:28"/>
        <d v="2020-05-30T03:57:50"/>
        <d v="2020-05-31T06:16:13"/>
        <d v="2020-06-01T08:34:36"/>
        <d v="2020-06-02T10:52:58"/>
        <d v="2020-06-03T13:11:21"/>
        <d v="2020-06-04T15:29:44"/>
        <d v="2020-06-05T17:48:06"/>
        <d v="2020-06-06T20:06:29"/>
        <d v="2020-06-07T22:24:52"/>
        <d v="2020-06-09T00:43:15"/>
        <d v="2020-06-10T03:01:37"/>
        <d v="2020-06-11T05:20:00"/>
        <d v="2020-06-12T07:38:23"/>
        <d v="2020-06-13T09:56:45"/>
        <d v="2020-06-14T12:15:08"/>
        <d v="2020-06-15T14:33:31"/>
        <d v="2020-06-16T16:51:54"/>
        <d v="2020-06-17T19:10:16"/>
        <d v="2020-06-18T21:28:39"/>
        <d v="2020-06-19T23:47:02"/>
        <d v="2020-06-21T02:05:24"/>
        <d v="2020-06-22T04:23:47"/>
        <d v="2020-06-23T06:42:10"/>
        <d v="2020-06-24T09:00:32"/>
        <d v="2020-06-25T11:18:55"/>
        <d v="2020-06-26T13:37:18"/>
        <d v="2020-06-27T15:55:41"/>
        <d v="2020-06-28T18:14:03"/>
        <d v="2020-06-29T20:32:26"/>
        <d v="2020-06-30T22:50:49"/>
        <d v="2020-07-02T01:09:11"/>
        <d v="2020-07-03T03:27:34"/>
        <d v="2020-07-04T05:45:57"/>
        <d v="2020-07-05T08:04:19"/>
        <d v="2020-07-06T10:22:42"/>
        <d v="2020-07-07T12:41:05"/>
        <d v="2020-07-08T14:59:28"/>
        <d v="2020-07-09T17:17:50"/>
        <d v="2020-07-10T19:36:13"/>
        <d v="2020-07-11T21:54:36"/>
        <d v="2020-07-13T00:12:58"/>
        <d v="2020-07-14T02:31:21"/>
        <d v="2020-07-15T04:49:44"/>
        <d v="2020-07-16T07:08:06"/>
        <d v="2020-07-17T09:26:29"/>
        <d v="2020-07-18T11:44:52"/>
        <d v="2020-07-19T14:03:15"/>
        <d v="2020-07-20T16:21:37"/>
        <d v="2020-07-21T18:40:00"/>
        <d v="2020-07-22T20:58:23"/>
        <d v="2020-07-23T23:16:45"/>
        <d v="2020-07-25T01:35:08"/>
        <d v="2020-07-26T03:53:31"/>
        <d v="2020-07-27T06:11:54"/>
        <d v="2020-07-28T08:30:16"/>
        <d v="2020-07-29T10:48:39"/>
        <d v="2020-07-30T13:07:02"/>
        <d v="2020-07-31T15:25:24"/>
        <d v="2020-08-01T17:43:47"/>
        <d v="2020-08-02T20:02:10"/>
        <d v="2020-08-03T22:20:32"/>
        <d v="2020-08-05T00:38:55"/>
        <d v="2020-08-06T02:57:18"/>
        <d v="2020-08-07T05:15:41"/>
        <d v="2020-08-08T07:34:03"/>
        <d v="2020-08-09T09:52:26"/>
        <d v="2020-08-10T12:10:49"/>
        <d v="2020-08-11T14:29:11"/>
        <d v="2020-08-12T16:47:34"/>
        <d v="2020-08-13T19:05:57"/>
        <d v="2020-08-14T21:24:19"/>
        <d v="2020-08-15T23:42:42"/>
        <d v="2020-08-17T02:01:05"/>
        <d v="2020-08-18T04:19:28"/>
        <d v="2020-08-19T06:37:50"/>
        <d v="2020-08-20T08:56:13"/>
        <d v="2020-08-21T11:14:36"/>
        <d v="2020-08-22T13:32:58"/>
        <d v="2020-08-23T15:51:21"/>
        <d v="2020-08-24T18:09:44"/>
        <d v="2020-08-25T20:28:06"/>
        <d v="2020-08-26T22:46:29"/>
        <d v="2020-08-28T01:04:52"/>
        <d v="2020-08-29T03:23:15"/>
        <d v="2020-08-30T05:41:37"/>
        <d v="2020-08-31T08:00:00"/>
        <d v="2020-09-01T10:18:23"/>
        <d v="2020-09-02T12:36:45"/>
        <d v="2020-09-03T14:55:08"/>
        <d v="2020-09-04T17:13:31"/>
        <d v="2020-09-05T19:31:54"/>
        <d v="2020-09-06T21:50:16"/>
        <d v="2020-09-08T00:08:39"/>
        <d v="2020-09-09T02:27:02"/>
        <d v="2020-09-10T04:45:24"/>
        <d v="2020-09-11T07:03:47"/>
        <d v="2020-09-12T09:22:10"/>
        <d v="2020-09-13T11:40:32"/>
        <d v="2020-09-14T13:58:55"/>
        <d v="2020-09-15T16:17:18"/>
        <d v="2020-09-16T18:35:41"/>
        <d v="2020-09-17T20:54:03"/>
        <d v="2020-09-18T23:12:26"/>
        <d v="2020-09-20T01:30:49"/>
        <d v="2020-09-21T03:49:11"/>
        <d v="2020-09-22T06:07:34"/>
        <d v="2020-09-23T08:25:57"/>
        <d v="2020-09-24T10:44:19"/>
        <d v="2020-09-25T13:02:42"/>
        <d v="2020-09-26T15:21:05"/>
        <d v="2020-09-27T17:39:28"/>
        <d v="2020-09-28T19:57:50"/>
        <d v="2020-09-29T22:16:13"/>
        <d v="2020-10-01T00:34:36"/>
        <d v="2020-10-02T02:52:58"/>
        <d v="2020-10-03T05:11:21"/>
        <d v="2020-10-04T07:29:44"/>
        <d v="2020-10-05T09:48:06"/>
        <d v="2020-10-06T12:06:29"/>
        <d v="2020-10-07T14:24:52"/>
        <d v="2020-10-08T16:43:15"/>
        <d v="2020-10-09T19:01:37"/>
        <d v="2020-10-10T21:20:00"/>
        <d v="2020-10-11T23:38:23"/>
        <d v="2020-10-13T01:56:45"/>
        <d v="2020-10-14T04:15:08"/>
        <d v="2020-10-15T06:33:31"/>
        <d v="2020-10-16T08:51:54"/>
        <d v="2020-10-17T11:10:16"/>
        <d v="2020-10-18T13:28:39"/>
        <d v="2020-10-19T15:47:02"/>
        <d v="2020-10-20T18:05:24"/>
        <d v="2020-10-21T20:23:47"/>
        <d v="2020-10-22T22:42:10"/>
        <d v="2020-10-24T01:00:32"/>
        <d v="2020-10-25T03:18:55"/>
        <d v="2020-10-26T05:37:18"/>
        <d v="2020-10-27T07:55:41"/>
        <d v="2020-10-28T10:14:03"/>
        <d v="2020-10-29T12:32:26"/>
        <d v="2020-10-30T14:50:49"/>
        <d v="2020-10-31T17:09:11"/>
        <d v="2020-11-01T19:27:34"/>
        <d v="2020-11-02T21:45:57"/>
        <d v="2020-11-04T00:04:19"/>
        <d v="2020-11-05T02:22:42"/>
        <d v="2020-11-06T04:41:05"/>
        <d v="2020-11-07T06:59:28"/>
        <d v="2020-11-08T09:17:50"/>
        <d v="2020-11-09T11:36:13"/>
        <d v="2020-11-10T13:54:36"/>
        <d v="2020-11-11T16:12:58"/>
        <d v="2020-11-12T18:31:21"/>
        <d v="2020-11-13T20:49:44"/>
        <d v="2020-11-14T23:08:06"/>
        <d v="2020-11-16T01:26:29"/>
        <d v="2020-11-17T03:44:52"/>
        <d v="2020-11-18T06:03:15"/>
        <d v="2020-11-19T08:21:37"/>
        <d v="2020-11-20T10:40:00"/>
        <d v="2020-11-21T12:58:23"/>
        <d v="2020-11-22T15:16:45"/>
        <d v="2020-11-23T17:35:08"/>
        <d v="2020-11-24T19:53:31"/>
        <d v="2020-11-25T22:11:54"/>
        <d v="2020-11-27T00:30:16"/>
        <d v="2020-11-28T02:48:39"/>
        <d v="2020-11-29T05:07:02"/>
        <d v="2020-11-30T07:25:24"/>
        <d v="2020-12-01T09:43:47"/>
        <d v="2020-12-02T12:02:10"/>
        <d v="2020-12-03T14:20:32"/>
        <d v="2020-12-04T16:38:55"/>
        <d v="2020-12-05T18:57:18"/>
        <d v="2020-12-06T21:15:41"/>
        <d v="2020-12-07T23:34:03"/>
        <d v="2020-12-09T01:52:26"/>
        <d v="2020-12-10T04:10:49"/>
        <d v="2020-12-11T06:29:11"/>
        <d v="2020-12-12T08:47:34"/>
        <d v="2020-12-13T11:05:57"/>
        <d v="2020-12-14T13:24:19"/>
        <d v="2020-12-15T15:42:42"/>
        <d v="2020-12-16T18:01:05"/>
        <d v="2020-12-17T20:19:28"/>
        <d v="2020-12-18T22:37:50"/>
        <d v="2020-12-20T00:56:13"/>
        <d v="2020-12-21T03:14:36"/>
        <d v="2020-12-22T05:32:58"/>
        <d v="2020-12-23T07:51:21"/>
        <d v="2020-12-24T10:09:44"/>
        <d v="2020-12-25T12:28:06"/>
        <d v="2020-12-26T14:46:29"/>
        <d v="2020-12-27T17:04:52"/>
        <d v="2020-12-28T19:23:15"/>
        <d v="2020-12-29T21:41:37"/>
        <d v="2020-12-31T00:00:00"/>
      </sharedItems>
      <fieldGroup par="23"/>
    </cacheField>
    <cacheField name="Ship Date" numFmtId="14">
      <sharedItems containsSemiMixedTypes="0" containsNonDate="0" containsDate="1" containsString="0" minDate="2018-01-03T00:00:00" maxDate="2021-01-07T00:00:00" count="1000">
        <d v="2018-01-03T00:00:00"/>
        <d v="2018-01-07T02:18:23"/>
        <d v="2018-01-08T04:36:45"/>
        <d v="2018-01-08T06:55:08"/>
        <d v="2018-01-07T09:13:31"/>
        <d v="2018-01-12T11:31:54"/>
        <d v="2018-01-08T13:50:16"/>
        <d v="2018-01-11T16:08:39"/>
        <d v="2018-01-10T18:27:02"/>
        <d v="2018-01-12T20:45:24"/>
        <d v="2018-01-17T23:03:47"/>
        <d v="2018-01-18T01:22:10"/>
        <d v="2018-01-18T03:40:32"/>
        <d v="2018-01-17T05:58:55"/>
        <d v="2018-01-19T08:17:18"/>
        <d v="2018-01-22T10:35:41"/>
        <d v="2018-01-23T12:54:03"/>
        <d v="2018-01-21T15:12:26"/>
        <d v="2018-01-26T17:30:49"/>
        <d v="2018-01-23T19:49:11"/>
        <d v="2018-01-25T22:07:34"/>
        <d v="2018-01-27T00:25:57"/>
        <d v="2018-01-26T02:44:19"/>
        <d v="2018-01-30T05:02:42"/>
        <d v="2018-02-01T07:21:05"/>
        <d v="2018-02-01T09:39:28"/>
        <d v="2018-01-30T11:57:50"/>
        <d v="2018-02-01T14:16:13"/>
        <d v="2018-02-01T16:34:36"/>
        <d v="2018-02-04T18:52:58"/>
        <d v="2018-02-06T21:11:21"/>
        <d v="2018-02-07T23:29:44"/>
        <d v="2018-02-09T01:48:06"/>
        <d v="2018-02-11T04:06:29"/>
        <d v="2018-02-11T06:24:52"/>
        <d v="2018-02-09T08:43:15"/>
        <d v="2018-02-12T11:01:37"/>
        <d v="2018-02-12T13:20:00"/>
        <d v="2018-02-12T15:38:23"/>
        <d v="2018-02-16T17:56:45"/>
        <d v="2018-02-15T20:15:08"/>
        <d v="2018-02-20T22:33:31"/>
        <d v="2018-02-19T00:51:54"/>
        <d v="2018-02-22T03:10:16"/>
        <d v="2018-02-22T05:28:39"/>
        <d v="2018-02-20T07:47:02"/>
        <d v="2018-02-26T10:05:24"/>
        <d v="2018-02-26T12:23:47"/>
        <d v="2018-02-26T14:42:10"/>
        <d v="2018-03-01T17:00:32"/>
        <d v="2018-03-02T19:18:55"/>
        <d v="2018-02-27T21:37:18"/>
        <d v="2018-03-04T23:55:41"/>
        <d v="2018-03-05T02:14:03"/>
        <d v="2018-03-06T04:32:26"/>
        <d v="2018-03-05T06:50:49"/>
        <d v="2018-03-06T09:09:11"/>
        <d v="2018-03-10T11:27:34"/>
        <d v="2018-03-09T13:45:57"/>
        <d v="2018-03-10T16:04:19"/>
        <d v="2018-03-08T18:22:42"/>
        <d v="2018-03-09T20:41:05"/>
        <d v="2018-03-13T22:59:28"/>
        <d v="2018-03-13T01:17:50"/>
        <d v="2018-03-18T03:36:13"/>
        <d v="2018-03-14T05:54:36"/>
        <d v="2018-03-20T08:12:58"/>
        <d v="2018-03-19T10:31:21"/>
        <d v="2018-03-21T12:49:44"/>
        <d v="2018-03-23T15:08:06"/>
        <d v="2018-03-21T17:26:29"/>
        <d v="2018-03-22T19:44:52"/>
        <d v="2018-03-26T22:03:15"/>
        <d v="2018-03-28T00:21:37"/>
        <d v="2018-03-26T02:40:00"/>
        <d v="2018-03-28T04:58:23"/>
        <d v="2018-03-30T07:16:45"/>
        <d v="2018-03-29T09:35:08"/>
        <d v="2018-03-31T11:53:31"/>
        <d v="2018-04-01T14:11:54"/>
        <d v="2018-04-04T16:30:16"/>
        <d v="2018-04-02T18:48:39"/>
        <d v="2018-04-01T21:07:02"/>
        <d v="2018-04-04T23:25:24"/>
        <d v="2018-04-04T01:43:47"/>
        <d v="2018-04-10T04:02:10"/>
        <d v="2018-04-06T06:20:32"/>
        <d v="2018-04-11T08:38:55"/>
        <d v="2018-04-11T10:57:18"/>
        <d v="2018-04-10T13:15:41"/>
        <d v="2018-04-13T15:34:03"/>
        <d v="2018-04-14T17:52:26"/>
        <d v="2018-04-17T20:10:49"/>
        <d v="2018-04-18T22:29:11"/>
        <d v="2018-04-15T00:47:34"/>
        <d v="2018-04-17T03:05:57"/>
        <d v="2018-04-19T05:24:19"/>
        <d v="2018-04-18T07:42:42"/>
        <d v="2018-04-22T10:01:05"/>
        <d v="2018-04-23T12:19:28"/>
        <d v="2018-04-26T14:37:50"/>
        <d v="2018-04-26T16:56:13"/>
        <d v="2018-04-23T19:14:36"/>
        <d v="2018-04-24T21:32:58"/>
        <d v="2018-04-25T23:51:21"/>
        <d v="2018-04-30T02:09:44"/>
        <d v="2018-04-29T04:28:06"/>
        <d v="2018-05-03T06:46:29"/>
        <d v="2018-04-30T09:04:52"/>
        <d v="2018-05-01T11:23:15"/>
        <d v="2018-05-07T13:41:37"/>
        <d v="2018-05-04T16:00:00"/>
        <d v="2018-05-05T18:18:23"/>
        <d v="2018-05-10T20:36:45"/>
        <d v="2018-05-06T22:55:08"/>
        <d v="2018-05-13T01:13:31"/>
        <d v="2018-05-14T03:31:54"/>
        <d v="2018-05-15T05:50:16"/>
        <d v="2018-05-11T08:08:39"/>
        <d v="2018-05-13T10:27:02"/>
        <d v="2018-05-13T12:45:24"/>
        <d v="2018-05-15T15:03:47"/>
        <d v="2018-05-16T17:22:10"/>
        <d v="2018-05-19T19:40:32"/>
        <d v="2018-05-19T21:58:55"/>
        <d v="2018-05-19T00:17:18"/>
        <d v="2018-05-20T02:35:41"/>
        <d v="2018-05-25T04:54:03"/>
        <d v="2018-05-25T07:12:26"/>
        <d v="2018-05-28T09:30:49"/>
        <d v="2018-05-24T11:49:11"/>
        <d v="2018-05-26T14:07:34"/>
        <d v="2018-05-28T16:25:57"/>
        <d v="2018-05-31T18:44:19"/>
        <d v="2018-06-01T21:02:42"/>
        <d v="2018-06-02T23:21:05"/>
        <d v="2018-06-01T01:39:28"/>
        <d v="2018-06-02T03:57:50"/>
        <d v="2018-06-05T06:16:13"/>
        <d v="2018-06-03T08:34:36"/>
        <d v="2018-06-08T10:52:58"/>
        <d v="2018-06-10T13:11:21"/>
        <d v="2018-06-06T15:29:44"/>
        <d v="2018-06-11T17:48:06"/>
        <d v="2018-06-09T20:06:29"/>
        <d v="2018-06-11T22:24:52"/>
        <d v="2018-06-16T00:43:15"/>
        <d v="2018-06-17T03:01:37"/>
        <d v="2018-06-16T05:20:00"/>
        <d v="2018-06-19T07:38:23"/>
        <d v="2018-06-15T09:56:45"/>
        <d v="2018-06-18T12:15:08"/>
        <d v="2018-06-21T14:33:31"/>
        <d v="2018-06-19T16:51:54"/>
        <d v="2018-06-22T19:10:16"/>
        <d v="2018-06-23T21:28:39"/>
        <d v="2018-06-26T23:47:02"/>
        <d v="2018-06-24T02:05:24"/>
        <d v="2018-06-29T04:23:47"/>
        <d v="2018-06-30T06:42:10"/>
        <d v="2018-06-30T09:00:32"/>
        <d v="2018-06-28T11:18:55"/>
        <d v="2018-07-03T13:37:18"/>
        <d v="2018-07-02T15:55:41"/>
        <d v="2018-06-30T18:14:03"/>
        <d v="2018-07-03T20:32:26"/>
        <d v="2018-07-03T22:50:49"/>
        <d v="2018-07-08T01:09:11"/>
        <d v="2018-07-10T03:27:34"/>
        <d v="2018-07-07T05:45:57"/>
        <d v="2018-07-11T08:04:19"/>
        <d v="2018-07-13T10:22:42"/>
        <d v="2018-07-12T12:41:05"/>
        <d v="2018-07-10T14:59:28"/>
        <d v="2018-07-16T17:17:50"/>
        <d v="2018-07-14T19:36:13"/>
        <d v="2018-07-17T21:54:36"/>
        <d v="2018-07-17T00:12:58"/>
        <d v="2018-07-21T02:31:21"/>
        <d v="2018-07-18T04:49:44"/>
        <d v="2018-07-21T07:08:06"/>
        <d v="2018-07-22T09:26:29"/>
        <d v="2018-07-23T11:44:52"/>
        <d v="2018-07-23T14:03:15"/>
        <d v="2018-07-27T16:21:37"/>
        <d v="2018-07-26T18:40:00"/>
        <d v="2018-07-28T20:58:23"/>
        <d v="2018-07-27T23:16:45"/>
        <d v="2018-08-01T01:35:08"/>
        <d v="2018-07-31T03:53:31"/>
        <d v="2018-07-30T06:11:54"/>
        <d v="2018-08-04T08:30:16"/>
        <d v="2018-08-01T10:48:39"/>
        <d v="2018-08-04T13:07:02"/>
        <d v="2018-08-04T15:25:24"/>
        <d v="2018-08-08T17:43:47"/>
        <d v="2018-08-08T20:02:10"/>
        <d v="2018-08-06T22:20:32"/>
        <d v="2018-08-10T00:38:55"/>
        <d v="2018-08-10T02:57:18"/>
        <d v="2018-08-09T05:15:41"/>
        <d v="2018-08-13T07:34:03"/>
        <d v="2018-08-13T09:52:26"/>
        <d v="2018-08-15T12:10:49"/>
        <d v="2018-08-18T14:29:11"/>
        <d v="2018-08-16T16:47:34"/>
        <d v="2018-08-20T19:05:57"/>
        <d v="2018-08-18T21:24:19"/>
        <d v="2018-08-22T23:42:42"/>
        <d v="2018-08-21T02:01:05"/>
        <d v="2018-08-22T04:19:28"/>
        <d v="2018-08-26T06:37:50"/>
        <d v="2018-08-25T08:56:13"/>
        <d v="2018-08-27T11:14:36"/>
        <d v="2018-08-27T13:32:58"/>
        <d v="2018-08-26T15:51:21"/>
        <d v="2018-08-27T18:09:44"/>
        <d v="2018-08-27T20:28:06"/>
        <d v="2018-09-02T22:46:29"/>
        <d v="2018-09-01T01:04:52"/>
        <d v="2018-09-05T03:23:15"/>
        <d v="2018-09-04T05:41:37"/>
        <d v="2018-09-02T08:00:00"/>
        <d v="2018-09-05T10:18:23"/>
        <d v="2018-09-04T12:36:45"/>
        <d v="2018-09-06T14:55:08"/>
        <d v="2018-09-07T17:13:31"/>
        <d v="2018-09-11T19:31:54"/>
        <d v="2018-09-13T21:50:16"/>
        <d v="2018-09-13T00:08:39"/>
        <d v="2018-09-16T02:27:02"/>
        <d v="2018-09-12T04:45:24"/>
        <d v="2018-09-17T07:03:47"/>
        <d v="2018-09-19T09:22:10"/>
        <d v="2018-09-20T11:40:32"/>
        <d v="2018-09-21T13:58:55"/>
        <d v="2018-09-17T16:17:18"/>
        <d v="2018-09-20T18:35:41"/>
        <d v="2018-09-19T20:54:03"/>
        <d v="2018-09-21T23:12:26"/>
        <d v="2018-09-23T01:30:49"/>
        <d v="2018-09-25T03:49:11"/>
        <d v="2018-09-25T06:07:34"/>
        <d v="2018-09-28T08:25:57"/>
        <d v="2018-09-26T10:44:19"/>
        <d v="2018-09-29T13:02:42"/>
        <d v="2018-10-02T15:21:05"/>
        <d v="2018-10-03T17:39:28"/>
        <d v="2018-10-04T19:57:50"/>
        <d v="2018-10-03T22:16:13"/>
        <d v="2018-10-05T00:34:36"/>
        <d v="2018-10-05T02:52:58"/>
        <d v="2018-10-08T05:11:21"/>
        <d v="2018-10-11T07:29:44"/>
        <d v="2018-10-08T09:48:06"/>
        <d v="2018-10-11T12:06:29"/>
        <d v="2018-10-14T14:24:52"/>
        <d v="2018-10-13T16:43:15"/>
        <d v="2018-10-12T19:01:37"/>
        <d v="2018-10-15T21:20:00"/>
        <d v="2018-10-18T23:38:23"/>
        <d v="2018-10-20T01:56:45"/>
        <d v="2018-10-18T04:15:08"/>
        <d v="2018-10-21T06:33:31"/>
        <d v="2018-10-22T08:51:54"/>
        <d v="2018-10-23T11:10:16"/>
        <d v="2018-10-22T13:28:39"/>
        <d v="2018-10-22T15:47:02"/>
        <d v="2018-10-22T18:05:24"/>
        <d v="2018-10-24T20:23:47"/>
        <d v="2018-10-28T22:42:10"/>
        <d v="2018-10-26T01:00:32"/>
        <d v="2018-10-27T03:18:55"/>
        <d v="2018-10-29T05:37:18"/>
        <d v="2018-10-29T07:55:41"/>
        <d v="2018-11-01T10:14:03"/>
        <d v="2018-11-04T12:32:26"/>
        <d v="2018-11-03T14:50:49"/>
        <d v="2018-11-05T17:09:11"/>
        <d v="2018-11-04T19:27:34"/>
        <d v="2018-11-04T21:45:57"/>
        <d v="2018-11-07T00:04:19"/>
        <d v="2018-11-07T02:22:42"/>
        <d v="2018-11-10T04:41:05"/>
        <d v="2018-11-09T06:59:28"/>
        <d v="2018-11-12T09:17:50"/>
        <d v="2018-11-15T11:36:13"/>
        <d v="2018-11-12T13:54:36"/>
        <d v="2018-11-13T16:12:58"/>
        <d v="2018-11-18T18:31:21"/>
        <d v="2018-11-17T20:49:44"/>
        <d v="2018-11-17T23:08:06"/>
        <d v="2018-11-22T01:26:29"/>
        <d v="2018-11-22T03:44:52"/>
        <d v="2018-11-23T06:03:15"/>
        <d v="2018-11-23T08:21:37"/>
        <d v="2018-11-22T10:40:00"/>
        <d v="2018-11-28T12:58:23"/>
        <d v="2018-11-27T15:16:45"/>
        <d v="2018-11-27T17:35:08"/>
        <d v="2018-11-26T19:53:31"/>
        <d v="2018-11-30T22:11:54"/>
        <d v="2018-11-30T00:30:16"/>
        <d v="2018-12-04T02:48:39"/>
        <d v="2018-12-05T05:07:02"/>
        <d v="2018-12-04T07:25:24"/>
        <d v="2018-12-08T09:43:47"/>
        <d v="2018-12-07T12:02:10"/>
        <d v="2018-12-10T14:20:32"/>
        <d v="2018-12-08T16:38:55"/>
        <d v="2018-12-07T18:57:18"/>
        <d v="2018-12-10T21:15:41"/>
        <d v="2018-12-10T23:34:03"/>
        <d v="2018-12-15T01:52:26"/>
        <d v="2018-12-17T04:10:49"/>
        <d v="2018-12-18T06:29:11"/>
        <d v="2018-12-15T08:47:34"/>
        <d v="2018-12-19T11:05:57"/>
        <d v="2018-12-16T13:24:19"/>
        <d v="2018-12-21T15:42:42"/>
        <d v="2018-12-19T18:01:05"/>
        <d v="2018-12-23T20:19:28"/>
        <d v="2018-12-22T22:37:50"/>
        <d v="2018-12-24T00:56:13"/>
        <d v="2018-12-27T03:14:36"/>
        <d v="2018-12-25T05:32:58"/>
        <d v="2018-12-25T07:51:21"/>
        <d v="2018-12-31T10:09:44"/>
        <d v="2019-01-01T12:28:06"/>
        <d v="2019-01-02T14:46:29"/>
        <d v="2018-12-31T17:04:52"/>
        <d v="2019-01-02T19:23:15"/>
        <d v="2019-01-05T21:41:37"/>
        <d v="2019-01-07T00:00:00"/>
        <d v="2019-01-08T02:18:23"/>
        <d v="2019-01-09T04:36:45"/>
        <d v="2019-01-07T06:55:08"/>
        <d v="2019-01-07T09:13:31"/>
        <d v="2019-01-10T11:31:54"/>
        <d v="2019-01-09T13:50:16"/>
        <d v="2019-01-09T16:08:39"/>
        <d v="2019-01-10T18:27:02"/>
        <d v="2019-01-14T20:45:24"/>
        <d v="2019-01-17T23:03:47"/>
        <d v="2019-01-15T01:22:10"/>
        <d v="2019-01-15T03:40:32"/>
        <d v="2019-01-20T05:58:55"/>
        <d v="2019-01-19T08:17:18"/>
        <d v="2019-01-23T10:35:41"/>
        <d v="2019-01-19T12:54:03"/>
        <d v="2019-01-21T15:12:26"/>
        <d v="2019-01-25T17:30:49"/>
        <d v="2019-01-23T19:49:11"/>
        <d v="2019-01-26T22:07:34"/>
        <d v="2019-01-30T00:25:57"/>
        <d v="2019-01-30T02:44:19"/>
        <d v="2019-01-28T05:02:42"/>
        <d v="2019-02-01T07:21:05"/>
        <d v="2019-02-03T09:39:28"/>
        <d v="2019-02-04T11:57:50"/>
        <d v="2019-02-05T14:16:13"/>
        <d v="2019-02-02T16:34:36"/>
        <d v="2019-02-06T18:52:58"/>
        <d v="2019-02-03T21:11:21"/>
        <d v="2019-02-06T23:29:44"/>
        <d v="2019-02-10T01:48:06"/>
        <d v="2019-02-11T04:06:29"/>
        <d v="2019-02-11T06:24:52"/>
        <d v="2019-02-09T08:43:15"/>
        <d v="2019-02-10T11:01:37"/>
        <d v="2019-02-14T13:20:00"/>
        <d v="2019-02-16T15:38:23"/>
        <d v="2019-02-13T17:56:45"/>
        <d v="2019-02-19T20:15:08"/>
        <d v="2019-02-16T22:33:31"/>
        <d v="2019-02-19T00:51:54"/>
        <d v="2019-02-23T03:10:16"/>
        <d v="2019-02-19T05:28:39"/>
        <d v="2019-02-25T07:47:02"/>
        <d v="2019-02-25T10:05:24"/>
        <d v="2019-02-22T12:23:47"/>
        <d v="2019-02-25T14:42:10"/>
        <d v="2019-02-27T17:00:32"/>
        <d v="2019-02-28T19:18:55"/>
        <d v="2019-03-03T21:37:18"/>
        <d v="2019-03-03T23:55:41"/>
        <d v="2019-03-06T02:14:03"/>
        <d v="2019-03-06T04:32:26"/>
        <d v="2019-03-04T06:50:49"/>
        <d v="2019-03-04T09:09:11"/>
        <d v="2019-03-09T11:27:34"/>
        <d v="2019-03-11T13:45:57"/>
        <d v="2019-03-09T16:04:19"/>
        <d v="2019-03-13T18:22:42"/>
        <d v="2019-03-10T20:41:05"/>
        <d v="2019-03-15T22:59:28"/>
        <d v="2019-03-17T01:17:50"/>
        <d v="2019-03-15T03:36:13"/>
        <d v="2019-03-14T05:54:36"/>
        <d v="2019-03-15T08:12:58"/>
        <d v="2019-03-21T10:31:21"/>
        <d v="2019-03-18T12:49:44"/>
        <d v="2019-03-22T15:08:06"/>
        <d v="2019-03-19T17:26:29"/>
        <d v="2019-03-20T19:44:52"/>
        <d v="2019-03-23T22:03:15"/>
        <d v="2019-03-27T00:21:37"/>
        <d v="2019-03-28T02:40:00"/>
        <d v="2019-03-26T04:58:23"/>
        <d v="2019-03-28T07:16:45"/>
        <d v="2019-03-31T09:35:08"/>
        <d v="2019-03-31T11:53:31"/>
        <d v="2019-03-29T14:11:54"/>
        <d v="2019-03-31T16:30:16"/>
        <d v="2019-04-01T18:48:39"/>
        <d v="2019-04-05T21:07:02"/>
        <d v="2019-04-03T23:25:24"/>
        <d v="2019-04-08T01:43:47"/>
        <d v="2019-04-09T04:02:10"/>
        <d v="2019-04-10T06:20:32"/>
        <d v="2019-04-09T08:38:55"/>
        <d v="2019-04-08T10:57:18"/>
        <d v="2019-04-14T13:15:41"/>
        <d v="2019-04-14T15:34:03"/>
        <d v="2019-04-12T17:52:26"/>
        <d v="2019-04-12T20:10:49"/>
        <d v="2019-04-13T22:29:11"/>
        <d v="2019-04-20T00:47:34"/>
        <d v="2019-04-19T03:05:57"/>
        <d v="2019-04-22T05:24:19"/>
        <d v="2019-04-22T07:42:42"/>
        <d v="2019-04-24T10:01:05"/>
        <d v="2019-04-25T12:19:28"/>
        <d v="2019-04-21T14:37:50"/>
        <d v="2019-04-23T16:56:13"/>
        <d v="2019-04-26T19:14:36"/>
        <d v="2019-04-24T21:32:58"/>
        <d v="2019-04-27T23:51:21"/>
        <d v="2019-04-28T02:09:44"/>
        <d v="2019-05-03T04:28:06"/>
        <d v="2019-04-30T06:46:29"/>
        <d v="2019-04-30T09:04:52"/>
        <d v="2019-05-01T11:23:15"/>
        <d v="2019-05-07T13:41:37"/>
        <d v="2019-05-07T16:00:00"/>
        <d v="2019-05-08T18:18:23"/>
        <d v="2019-05-07T20:36:45"/>
        <d v="2019-05-07T22:55:08"/>
        <d v="2019-05-08T01:13:31"/>
        <d v="2019-05-09T03:31:54"/>
        <d v="2019-05-14T05:50:16"/>
        <d v="2019-05-11T08:08:39"/>
        <d v="2019-05-14T10:27:02"/>
        <d v="2019-05-18T12:45:24"/>
        <d v="2019-05-16T15:03:47"/>
        <d v="2019-05-20T17:22:10"/>
        <d v="2019-05-21T19:40:32"/>
        <d v="2019-05-19T21:58:55"/>
        <d v="2019-05-22T00:17:18"/>
        <d v="2019-05-22T02:35:41"/>
        <d v="2019-05-26T04:54:03"/>
        <d v="2019-05-27T07:12:26"/>
        <d v="2019-05-23T09:30:49"/>
        <d v="2019-05-26T11:49:11"/>
        <d v="2019-05-29T14:07:34"/>
        <d v="2019-05-29T16:25:57"/>
        <d v="2019-05-27T18:44:19"/>
        <d v="2019-06-01T21:02:42"/>
        <d v="2019-05-29T23:21:05"/>
        <d v="2019-06-05T01:39:28"/>
        <d v="2019-06-02T03:57:50"/>
        <d v="2019-06-02T06:16:13"/>
        <d v="2019-06-06T08:34:36"/>
        <d v="2019-06-08T10:52:58"/>
        <d v="2019-06-10T13:11:21"/>
        <d v="2019-06-06T15:29:44"/>
        <d v="2019-06-09T17:48:06"/>
        <d v="2019-06-12T20:06:29"/>
        <d v="2019-06-11T22:24:52"/>
        <d v="2019-06-11T00:43:15"/>
        <d v="2019-06-15T03:01:37"/>
        <d v="2019-06-17T05:20:00"/>
        <d v="2019-06-14T07:38:23"/>
        <d v="2019-06-15T09:56:45"/>
        <d v="2019-06-20T12:15:08"/>
        <d v="2019-06-17T14:33:31"/>
        <d v="2019-06-23T16:51:54"/>
        <d v="2019-06-19T19:10:16"/>
        <d v="2019-06-20T21:28:39"/>
        <d v="2019-06-25T23:47:02"/>
        <d v="2019-06-28T02:05:24"/>
        <d v="2019-06-24T04:23:47"/>
        <d v="2019-06-26T06:42:10"/>
        <d v="2019-06-26T09:00:32"/>
        <d v="2019-06-27T11:18:55"/>
        <d v="2019-07-01T13:37:18"/>
        <d v="2019-07-03T15:55:41"/>
        <d v="2019-07-03T18:14:03"/>
        <d v="2019-07-03T20:32:26"/>
        <d v="2019-07-05T22:50:49"/>
        <d v="2019-07-07T01:09:11"/>
        <d v="2019-07-10T03:27:34"/>
        <d v="2019-07-08T05:45:57"/>
        <d v="2019-07-07T08:04:19"/>
        <d v="2019-07-09T10:22:42"/>
        <d v="2019-07-10T12:41:05"/>
        <d v="2019-07-12T14:59:28"/>
        <d v="2019-07-13T17:17:50"/>
        <d v="2019-07-15T19:36:13"/>
        <d v="2019-07-13T21:54:36"/>
        <d v="2019-07-16T00:12:58"/>
        <d v="2019-07-21T02:31:21"/>
        <d v="2019-07-18T04:49:44"/>
        <d v="2019-07-21T07:08:06"/>
        <d v="2019-07-24T09:26:29"/>
        <d v="2019-07-21T11:44:52"/>
        <d v="2019-07-26T14:03:15"/>
        <d v="2019-07-24T16:21:37"/>
        <d v="2019-07-23T18:40:00"/>
        <d v="2019-07-26T20:58:23"/>
        <d v="2019-07-28T23:16:45"/>
        <d v="2019-07-28T01:35:08"/>
        <d v="2019-08-01T03:53:31"/>
        <d v="2019-08-01T06:11:54"/>
        <d v="2019-08-03T08:30:16"/>
        <d v="2019-08-03T10:48:39"/>
        <d v="2019-08-04T13:07:02"/>
        <d v="2019-08-04T15:25:24"/>
        <d v="2019-08-07T17:43:47"/>
        <d v="2019-08-05T20:02:10"/>
        <d v="2019-08-09T22:20:32"/>
        <d v="2019-08-09T00:38:55"/>
        <d v="2019-08-08T02:57:18"/>
        <d v="2019-08-12T05:15:41"/>
        <d v="2019-08-13T07:34:03"/>
        <d v="2019-08-16T09:52:26"/>
        <d v="2019-08-16T12:10:49"/>
        <d v="2019-08-15T14:29:11"/>
        <d v="2019-08-17T16:47:34"/>
        <d v="2019-08-18T19:05:57"/>
        <d v="2019-08-16T21:24:19"/>
        <d v="2019-08-17T23:42:42"/>
        <d v="2019-08-23T02:01:05"/>
        <d v="2019-08-23T04:19:28"/>
        <d v="2019-08-26T06:37:50"/>
        <d v="2019-08-26T08:56:13"/>
        <d v="2019-08-25T11:14:36"/>
        <d v="2019-08-26T13:32:58"/>
        <d v="2019-08-28T15:51:21"/>
        <d v="2019-08-31T18:09:44"/>
        <d v="2019-08-28T20:28:06"/>
        <d v="2019-09-02T22:46:29"/>
        <d v="2019-09-02T01:04:52"/>
        <d v="2019-09-03T03:23:15"/>
        <d v="2019-09-05T05:41:37"/>
        <d v="2019-09-07T08:00:00"/>
        <d v="2019-09-06T10:18:23"/>
        <d v="2019-09-04T12:36:45"/>
        <d v="2019-09-09T14:55:08"/>
        <d v="2019-09-09T17:13:31"/>
        <d v="2019-09-10T19:31:54"/>
        <d v="2019-09-08T21:50:16"/>
        <d v="2019-09-14T00:08:39"/>
        <d v="2019-09-16T02:27:02"/>
        <d v="2019-09-13T04:45:24"/>
        <d v="2019-09-13T07:03:47"/>
        <d v="2019-09-18T09:22:10"/>
        <d v="2019-09-17T11:40:32"/>
        <d v="2019-09-19T13:58:55"/>
        <d v="2019-09-20T16:17:18"/>
        <d v="2019-09-22T18:35:41"/>
        <d v="2019-09-24T20:54:03"/>
        <d v="2019-09-25T23:12:26"/>
        <d v="2019-09-22T01:30:49"/>
        <d v="2019-09-24T03:49:11"/>
        <d v="2019-09-28T06:07:34"/>
        <d v="2019-09-26T08:25:57"/>
        <d v="2019-09-29T10:44:19"/>
        <d v="2019-09-29T13:02:42"/>
        <d v="2019-09-28T15:21:05"/>
        <d v="2019-10-03T17:39:28"/>
        <d v="2019-10-02T19:57:50"/>
        <d v="2019-10-06T22:16:13"/>
        <d v="2019-10-08T00:34:36"/>
        <d v="2019-10-09T02:52:58"/>
        <d v="2019-10-05T05:11:21"/>
        <d v="2019-10-11T07:29:44"/>
        <d v="2019-10-10T09:48:06"/>
        <d v="2019-10-08T12:06:29"/>
        <d v="2019-10-10T14:24:52"/>
        <d v="2019-10-10T16:43:15"/>
        <d v="2019-10-15T19:01:37"/>
        <d v="2019-10-12T21:20:00"/>
        <d v="2019-10-18T23:38:23"/>
        <d v="2019-10-15T01:56:45"/>
        <d v="2019-10-20T04:15:08"/>
        <d v="2019-10-17T06:33:31"/>
        <d v="2019-10-18T08:51:54"/>
        <d v="2019-10-19T11:10:16"/>
        <d v="2019-10-25T13:28:39"/>
        <d v="2019-10-22T15:47:02"/>
        <d v="2019-10-24T18:05:24"/>
        <d v="2019-10-27T20:23:47"/>
        <d v="2019-10-29T22:42:10"/>
        <d v="2019-10-26T01:00:32"/>
        <d v="2019-10-27T03:18:55"/>
        <d v="2019-10-28T05:37:18"/>
        <d v="2019-11-01T07:55:41"/>
        <d v="2019-11-03T10:14:03"/>
        <d v="2019-11-05T12:32:26"/>
        <d v="2019-11-02T14:50:49"/>
        <d v="2019-11-03T17:09:11"/>
        <d v="2019-11-05T19:27:34"/>
        <d v="2019-11-07T21:45:57"/>
        <d v="2019-11-08T00:04:19"/>
        <d v="2019-11-12T02:22:42"/>
        <d v="2019-11-12T04:41:05"/>
        <d v="2019-11-10T06:59:28"/>
        <d v="2019-11-14T09:17:50"/>
        <d v="2019-11-12T11:36:13"/>
        <d v="2019-11-16T13:54:36"/>
        <d v="2019-11-14T16:12:58"/>
        <d v="2019-11-18T18:31:21"/>
        <d v="2019-11-16T20:49:44"/>
        <d v="2019-11-17T23:08:06"/>
        <d v="2019-11-23T01:26:29"/>
        <d v="2019-11-22T03:44:52"/>
        <d v="2019-11-22T06:03:15"/>
        <d v="2019-11-22T08:21:37"/>
        <d v="2019-11-25T10:40:00"/>
        <d v="2019-11-25T12:58:23"/>
        <d v="2019-11-24T15:16:45"/>
        <d v="2019-11-27T17:35:08"/>
        <d v="2019-11-27T19:53:31"/>
        <d v="2019-12-02T22:11:54"/>
        <d v="2019-12-04T00:30:16"/>
        <d v="2019-12-02T02:48:39"/>
        <d v="2019-12-04T05:07:02"/>
        <d v="2019-12-04T07:25:24"/>
        <d v="2019-12-07T09:43:47"/>
        <d v="2019-12-09T12:02:10"/>
        <d v="2019-12-09T14:20:32"/>
        <d v="2019-12-09T16:38:55"/>
        <d v="2019-12-11T18:57:18"/>
        <d v="2019-12-11T21:15:41"/>
        <d v="2019-12-12T23:34:03"/>
        <d v="2019-12-12T01:52:26"/>
        <d v="2019-12-15T04:10:49"/>
        <d v="2019-12-17T06:29:11"/>
        <d v="2019-12-15T08:47:34"/>
        <d v="2019-12-20T11:05:57"/>
        <d v="2019-12-17T13:24:19"/>
        <d v="2019-12-21T15:42:42"/>
        <d v="2019-12-20T18:01:05"/>
        <d v="2019-12-20T20:19:28"/>
        <d v="2019-12-22T22:37:50"/>
        <d v="2019-12-24T00:56:13"/>
        <d v="2019-12-26T03:14:36"/>
        <d v="2019-12-29T05:32:58"/>
        <d v="2019-12-28T07:51:21"/>
        <d v="2019-12-31T10:09:44"/>
        <d v="2019-12-27T12:28:06"/>
        <d v="2019-12-31T14:46:29"/>
        <d v="2019-12-30T17:04:52"/>
        <d v="2020-01-04T19:23:15"/>
        <d v="2020-01-01T21:41:37"/>
        <d v="2020-01-05T00:00:00"/>
        <d v="2020-01-03T02:18:23"/>
        <d v="2020-01-08T04:36:45"/>
        <d v="2020-01-10T06:55:08"/>
        <d v="2020-01-07T09:13:31"/>
        <d v="2020-01-08T11:31:54"/>
        <d v="2020-01-09T13:50:16"/>
        <d v="2020-01-10T16:08:39"/>
        <d v="2020-01-15T18:27:02"/>
        <d v="2020-01-16T20:45:24"/>
        <d v="2020-01-17T23:03:47"/>
        <d v="2020-01-19T01:22:10"/>
        <d v="2020-01-16T03:40:32"/>
        <d v="2020-01-18T05:58:55"/>
        <d v="2020-01-17T08:17:18"/>
        <d v="2020-01-20T10:35:41"/>
        <d v="2020-01-22T12:54:03"/>
        <d v="2020-01-22T15:12:26"/>
        <d v="2020-01-22T17:30:49"/>
        <d v="2020-01-24T19:49:11"/>
        <d v="2020-01-27T22:07:34"/>
        <d v="2020-01-26T00:25:57"/>
        <d v="2020-01-31T02:44:19"/>
        <d v="2020-01-30T05:02:42"/>
        <d v="2020-01-31T07:21:05"/>
        <d v="2020-02-03T09:39:28"/>
        <d v="2020-02-03T11:57:50"/>
        <d v="2020-02-03T14:16:13"/>
        <d v="2020-02-05T16:34:36"/>
        <d v="2020-02-02T18:52:58"/>
        <d v="2020-02-05T21:11:21"/>
        <d v="2020-02-07T23:29:44"/>
        <d v="2020-02-09T01:48:06"/>
        <d v="2020-02-09T04:06:29"/>
        <d v="2020-02-11T06:24:52"/>
        <d v="2020-02-11T08:43:15"/>
        <d v="2020-02-11T11:01:37"/>
        <d v="2020-02-16T13:20:00"/>
        <d v="2020-02-16T15:38:23"/>
        <d v="2020-02-13T17:56:45"/>
        <d v="2020-02-19T20:15:08"/>
        <d v="2020-02-18T22:33:31"/>
        <d v="2020-02-21T00:51:54"/>
        <d v="2020-02-20T03:10:16"/>
        <d v="2020-02-21T05:28:39"/>
        <d v="2020-02-22T07:47:02"/>
        <d v="2020-02-24T10:05:24"/>
        <d v="2020-02-27T12:23:47"/>
        <d v="2020-02-26T14:42:10"/>
        <d v="2020-02-28T17:00:32"/>
        <d v="2020-02-26T19:18:55"/>
        <d v="2020-02-28T21:37:18"/>
        <d v="2020-03-01T23:55:41"/>
        <d v="2020-03-03T02:14:03"/>
        <d v="2020-03-02T04:32:26"/>
        <d v="2020-03-02T06:50:49"/>
        <d v="2020-03-05T09:09:11"/>
        <d v="2020-03-08T11:27:34"/>
        <d v="2020-03-07T13:45:57"/>
        <d v="2020-03-06T16:04:19"/>
        <d v="2020-03-07T18:22:42"/>
        <d v="2020-03-10T20:41:05"/>
        <d v="2020-03-11T22:59:28"/>
        <d v="2020-03-12T01:17:50"/>
        <d v="2020-03-16T03:36:13"/>
        <d v="2020-03-17T05:54:36"/>
        <d v="2020-03-19T08:12:58"/>
        <d v="2020-03-17T10:31:21"/>
        <d v="2020-03-16T12:49:44"/>
        <d v="2020-03-18T15:08:06"/>
        <d v="2020-03-20T17:26:29"/>
        <d v="2020-03-19T19:44:52"/>
        <d v="2020-03-25T22:03:15"/>
        <d v="2020-03-25T00:21:37"/>
        <d v="2020-03-24T02:40:00"/>
        <d v="2020-03-26T04:58:23"/>
        <d v="2020-03-29T07:16:45"/>
        <d v="2020-03-26T09:35:08"/>
        <d v="2020-03-28T11:53:31"/>
        <d v="2020-03-28T14:11:54"/>
        <d v="2020-04-01T16:30:16"/>
        <d v="2020-04-01T18:48:39"/>
        <d v="2020-03-31T21:07:02"/>
        <d v="2020-04-04T23:25:24"/>
        <d v="2020-04-08T01:43:47"/>
        <d v="2020-04-09T04:02:10"/>
        <d v="2020-04-05T06:20:32"/>
        <d v="2020-04-07T08:38:55"/>
        <d v="2020-04-12T10:57:18"/>
        <d v="2020-04-12T13:15:41"/>
        <d v="2020-04-14T15:34:03"/>
        <d v="2020-04-13T17:52:26"/>
        <d v="2020-04-12T20:10:49"/>
        <d v="2020-04-15T22:29:11"/>
        <d v="2020-04-19T00:47:34"/>
        <d v="2020-04-18T03:05:57"/>
        <d v="2020-04-16T05:24:19"/>
        <d v="2020-04-21T07:42:42"/>
        <d v="2020-04-18T10:01:05"/>
        <d v="2020-04-19T12:19:28"/>
        <d v="2020-04-20T14:37:50"/>
        <d v="2020-04-22T16:56:13"/>
        <d v="2020-04-22T19:14:36"/>
        <d v="2020-04-27T21:32:58"/>
        <d v="2020-04-24T23:51:21"/>
        <d v="2020-04-29T02:09:44"/>
        <d v="2020-05-02T04:28:06"/>
        <d v="2020-04-28T06:46:29"/>
        <d v="2020-04-30T09:04:52"/>
        <d v="2020-05-01T11:23:15"/>
        <d v="2020-05-03T13:41:37"/>
        <d v="2020-05-04T16:00:00"/>
        <d v="2020-05-04T18:18:23"/>
        <d v="2020-05-04T20:36:45"/>
        <d v="2020-05-09T22:55:08"/>
        <d v="2020-05-12T01:13:31"/>
        <d v="2020-05-10T03:31:54"/>
        <d v="2020-05-12T05:50:16"/>
        <d v="2020-05-10T08:08:39"/>
        <d v="2020-05-12T10:27:02"/>
        <d v="2020-05-12T12:45:24"/>
        <d v="2020-05-13T15:03:47"/>
        <d v="2020-05-14T17:22:10"/>
        <d v="2020-05-15T19:40:32"/>
        <d v="2020-05-21T21:58:55"/>
        <d v="2020-05-20T00:17:18"/>
        <d v="2020-05-23T02:35:41"/>
        <d v="2020-05-21T04:54:03"/>
        <d v="2020-05-25T07:12:26"/>
        <d v="2020-05-26T09:30:49"/>
        <d v="2020-05-23T11:49:11"/>
        <d v="2020-05-26T14:07:34"/>
        <d v="2020-05-27T16:25:57"/>
        <d v="2020-05-28T18:44:19"/>
        <d v="2020-05-28T21:02:42"/>
        <d v="2020-05-28T23:21:05"/>
        <d v="2020-06-02T01:39:28"/>
        <d v="2020-06-02T03:57:50"/>
        <d v="2020-06-05T06:16:13"/>
        <d v="2020-06-03T08:34:36"/>
        <d v="2020-06-03T10:52:58"/>
        <d v="2020-06-05T13:11:21"/>
        <d v="2020-06-05T15:29:44"/>
        <d v="2020-06-07T17:48:06"/>
        <d v="2020-06-11T20:06:29"/>
        <d v="2020-06-10T22:24:52"/>
        <d v="2020-06-14T00:43:15"/>
        <d v="2020-06-14T03:01:37"/>
        <d v="2020-06-15T05:20:00"/>
        <d v="2020-06-17T07:38:23"/>
        <d v="2020-06-17T09:56:45"/>
        <d v="2020-06-20T12:15:08"/>
        <d v="2020-06-17T14:33:31"/>
        <d v="2020-06-22T16:51:54"/>
        <d v="2020-06-20T19:10:16"/>
        <d v="2020-06-24T21:28:39"/>
        <d v="2020-06-21T23:47:02"/>
        <d v="2020-06-24T02:05:24"/>
        <d v="2020-06-27T04:23:47"/>
        <d v="2020-06-27T06:42:10"/>
        <d v="2020-06-26T09:00:32"/>
        <d v="2020-06-26T11:18:55"/>
        <d v="2020-06-27T13:37:18"/>
        <d v="2020-07-01T15:55:41"/>
        <d v="2020-07-01T18:14:03"/>
        <d v="2020-07-01T20:32:26"/>
        <d v="2020-07-02T22:50:49"/>
        <d v="2020-07-04T01:09:11"/>
        <d v="2020-07-07T03:27:34"/>
        <d v="2020-07-08T05:45:57"/>
        <d v="2020-07-10T08:04:19"/>
        <d v="2020-07-08T10:22:42"/>
        <d v="2020-07-12T12:41:05"/>
        <d v="2020-07-12T14:59:28"/>
        <d v="2020-07-15T17:17:50"/>
        <d v="2020-07-16T19:36:13"/>
        <d v="2020-07-13T21:54:36"/>
        <d v="2020-07-17T00:12:58"/>
        <d v="2020-07-16T02:31:21"/>
        <d v="2020-07-18T04:49:44"/>
        <d v="2020-07-22T07:08:06"/>
        <d v="2020-07-23T09:26:29"/>
        <d v="2020-07-23T11:44:52"/>
        <d v="2020-07-24T14:03:15"/>
        <d v="2020-07-24T16:21:37"/>
        <d v="2020-07-23T18:40:00"/>
        <d v="2020-07-25T20:58:23"/>
        <d v="2020-07-24T23:16:45"/>
        <d v="2020-07-29T01:35:08"/>
        <d v="2020-07-31T03:53:31"/>
        <d v="2020-07-30T06:11:54"/>
        <d v="2020-07-30T08:30:16"/>
        <d v="2020-08-04T10:48:39"/>
        <d v="2020-08-02T13:07:02"/>
        <d v="2020-08-02T15:25:24"/>
        <d v="2020-08-02T17:43:47"/>
        <d v="2020-08-06T20:02:10"/>
        <d v="2020-08-08T22:20:32"/>
        <d v="2020-08-06T00:38:55"/>
        <d v="2020-08-10T02:57:18"/>
        <d v="2020-08-09T05:15:41"/>
        <d v="2020-08-12T07:34:03"/>
        <d v="2020-08-15T09:52:26"/>
        <d v="2020-08-12T12:10:49"/>
        <d v="2020-08-15T14:29:11"/>
        <d v="2020-08-16T16:47:34"/>
        <d v="2020-08-17T19:05:57"/>
        <d v="2020-08-18T21:24:19"/>
        <d v="2020-08-16T23:42:42"/>
        <d v="2020-08-20T02:01:05"/>
        <d v="2020-08-20T04:19:28"/>
        <d v="2020-08-20T06:37:50"/>
        <d v="2020-08-22T08:56:13"/>
        <d v="2020-08-22T11:14:36"/>
        <d v="2020-08-27T13:32:58"/>
        <d v="2020-08-29T15:51:21"/>
        <d v="2020-08-28T18:09:44"/>
        <d v="2020-08-28T20:28:06"/>
        <d v="2020-09-01T22:46:29"/>
        <d v="2020-09-03T01:04:52"/>
        <d v="2020-09-02T03:23:15"/>
        <d v="2020-09-02T05:41:37"/>
        <d v="2020-09-06T08:00:00"/>
        <d v="2020-09-07T10:18:23"/>
        <d v="2020-09-03T12:36:45"/>
        <d v="2020-09-06T14:55:08"/>
        <d v="2020-09-07T17:13:31"/>
        <d v="2020-09-09T19:31:54"/>
        <d v="2020-09-10T21:50:16"/>
        <d v="2020-09-09T00:08:39"/>
        <d v="2020-09-12T02:27:02"/>
        <d v="2020-09-13T04:45:24"/>
        <d v="2020-09-13T07:03:47"/>
        <d v="2020-09-13T09:22:10"/>
        <d v="2020-09-18T11:40:32"/>
        <d v="2020-09-17T13:58:55"/>
        <d v="2020-09-18T16:17:18"/>
        <d v="2020-09-21T18:35:41"/>
        <d v="2020-09-21T20:54:03"/>
        <d v="2020-09-19T23:12:26"/>
        <d v="2020-09-21T01:30:49"/>
        <d v="2020-09-25T03:49:11"/>
        <d v="2020-09-28T06:07:34"/>
        <d v="2020-09-29T08:25:57"/>
        <d v="2020-09-26T10:44:19"/>
        <d v="2020-10-01T13:02:42"/>
        <d v="2020-10-02T15:21:05"/>
        <d v="2020-10-01T17:39:28"/>
        <d v="2020-10-01T19:57:50"/>
        <d v="2020-10-05T22:16:13"/>
        <d v="2020-10-02T00:34:36"/>
        <d v="2020-10-08T02:52:58"/>
        <d v="2020-10-06T05:11:21"/>
        <d v="2020-10-05T07:29:44"/>
        <d v="2020-10-09T09:48:06"/>
        <d v="2020-10-09T12:06:29"/>
        <d v="2020-10-12T14:24:52"/>
        <d v="2020-10-09T16:43:15"/>
        <d v="2020-10-13T19:01:37"/>
        <d v="2020-10-11T21:20:00"/>
        <d v="2020-10-16T23:38:23"/>
        <d v="2020-10-17T01:56:45"/>
        <d v="2020-10-15T04:15:08"/>
        <d v="2020-10-17T06:33:31"/>
        <d v="2020-10-21T08:51:54"/>
        <d v="2020-10-22T11:10:16"/>
        <d v="2020-10-22T13:28:39"/>
        <d v="2020-10-22T15:47:02"/>
        <d v="2020-10-21T18:05:24"/>
        <d v="2020-10-23T20:23:47"/>
        <d v="2020-10-23T22:42:10"/>
        <d v="2020-10-30T01:00:32"/>
        <d v="2020-10-29T03:18:55"/>
        <d v="2020-10-29T05:37:18"/>
        <d v="2020-11-02T07:55:41"/>
        <d v="2020-11-01T10:14:03"/>
        <d v="2020-11-03T12:32:26"/>
        <d v="2020-11-01T14:50:49"/>
        <d v="2020-11-05T17:09:11"/>
        <d v="2020-11-02T19:27:34"/>
        <d v="2020-11-06T21:45:57"/>
        <d v="2020-11-08T00:04:19"/>
        <d v="2020-11-11T02:22:42"/>
        <d v="2020-11-07T04:41:05"/>
        <d v="2020-11-09T06:59:28"/>
        <d v="2020-11-10T09:17:50"/>
        <d v="2020-11-14T11:36:13"/>
        <d v="2020-11-11T13:54:36"/>
        <d v="2020-11-13T16:12:58"/>
        <d v="2020-11-14T18:31:21"/>
        <d v="2020-11-17T20:49:44"/>
        <d v="2020-11-15T23:08:06"/>
        <d v="2020-11-22T01:26:29"/>
        <d v="2020-11-21T03:44:52"/>
        <d v="2020-11-24T06:03:15"/>
        <d v="2020-11-25T08:21:37"/>
        <d v="2020-11-22T10:40:00"/>
        <d v="2020-11-25T12:58:23"/>
        <d v="2020-11-25T15:16:45"/>
        <d v="2020-11-28T17:35:08"/>
        <d v="2020-11-30T19:53:31"/>
        <d v="2020-11-26T22:11:54"/>
        <d v="2020-11-29T00:30:16"/>
        <d v="2020-12-04T02:48:39"/>
        <d v="2020-12-02T05:07:02"/>
        <d v="2020-12-01T07:25:24"/>
        <d v="2020-12-02T09:43:47"/>
        <d v="2020-12-07T12:02:10"/>
        <d v="2020-12-09T14:20:32"/>
        <d v="2020-12-10T16:38:55"/>
        <d v="2020-12-06T18:57:18"/>
        <d v="2020-12-11T21:15:41"/>
        <d v="2020-12-12T23:34:03"/>
        <d v="2020-12-13T01:52:26"/>
        <d v="2020-12-16T04:10:49"/>
        <d v="2020-12-12T06:29:11"/>
        <d v="2020-12-13T08:47:34"/>
        <d v="2020-12-18T11:05:57"/>
        <d v="2020-12-15T13:24:19"/>
        <d v="2020-12-20T15:42:42"/>
        <d v="2020-12-18T18:01:05"/>
        <d v="2020-12-21T20:19:28"/>
        <d v="2020-12-20T22:37:50"/>
        <d v="2020-12-26T00:56:13"/>
        <d v="2020-12-25T03:14:36"/>
        <d v="2020-12-23T05:32:58"/>
        <d v="2020-12-26T07:51:21"/>
        <d v="2020-12-29T10:09:44"/>
        <d v="2020-12-26T12:28:06"/>
        <d v="2020-12-28T14:46:29"/>
        <d v="2020-12-28T17:04:52"/>
        <d v="2021-01-02T19:23:15"/>
        <d v="2020-12-30T21:41:37"/>
        <d v="2021-01-06T00:00:00"/>
      </sharedItems>
    </cacheField>
    <cacheField name="Ship Mode" numFmtId="0">
      <sharedItems count="4">
        <s v="First Class"/>
        <s v="Same Day"/>
        <s v="Standard Class"/>
        <s v="Second Class"/>
      </sharedItems>
    </cacheField>
    <cacheField name="Customer ID" numFmtId="0">
      <sharedItems/>
    </cacheField>
    <cacheField name="Customer Name" numFmtId="0">
      <sharedItems/>
    </cacheField>
    <cacheField name="Segment" numFmtId="0">
      <sharedItems count="3">
        <s v="Corporate"/>
        <s v="Home Office"/>
        <s v="Consumer"/>
      </sharedItems>
    </cacheField>
    <cacheField name="Country" numFmtId="0">
      <sharedItems/>
    </cacheField>
    <cacheField name="City" numFmtId="0">
      <sharedItems/>
    </cacheField>
    <cacheField name="State" numFmtId="0">
      <sharedItems count="18">
        <s v="New York"/>
        <s v="Illinois"/>
        <s v="California"/>
        <s v="Georgia"/>
        <s v="Washington"/>
        <s v="Texas"/>
        <s v="Arizona"/>
        <s v="Florida"/>
        <s v="Colorado"/>
        <s v="NY" u="1"/>
        <s v="IL" u="1"/>
        <s v="CA" u="1"/>
        <s v="GA" u="1"/>
        <s v="WA" u="1"/>
        <s v="TX" u="1"/>
        <s v="AZ" u="1"/>
        <s v="FL" u="1"/>
        <s v="CO" u="1"/>
      </sharedItems>
    </cacheField>
    <cacheField name="Postal Code" numFmtId="0">
      <sharedItems containsSemiMixedTypes="0" containsString="0" containsNumber="1" containsInteger="1" minValue="10019" maxValue="99898"/>
    </cacheField>
    <cacheField name="Region" numFmtId="0">
      <sharedItems count="4">
        <s v="Central"/>
        <s v="East"/>
        <s v="South"/>
        <s v="West"/>
      </sharedItems>
    </cacheField>
    <cacheField name="Product ID" numFmtId="0">
      <sharedItems/>
    </cacheField>
    <cacheField name="Category" numFmtId="0">
      <sharedItems count="3">
        <s v="Furniture"/>
        <s v="Technology"/>
        <s v="Office Supplies"/>
      </sharedItems>
    </cacheField>
    <cacheField name="Sub-Category" numFmtId="0">
      <sharedItems count="12">
        <s v="Bookcases"/>
        <s v="Furnishings"/>
        <s v="Phones"/>
        <s v="Machines"/>
        <s v="Accessories"/>
        <s v="Appliances"/>
        <s v="Paper"/>
        <s v="Binders"/>
        <s v="Tables"/>
        <s v="Chairs"/>
        <s v="Copiers"/>
        <s v="Storage"/>
      </sharedItems>
    </cacheField>
    <cacheField name="Product Name" numFmtId="0">
      <sharedItems count="480">
        <s v="Product 241"/>
        <s v="Product 432"/>
        <s v="Product 401"/>
        <s v="Product 99"/>
        <s v="Product 53"/>
        <s v="Product 372"/>
        <s v="Product 265"/>
        <s v="Product 294"/>
        <s v="Product 422"/>
        <s v="Product 461"/>
        <s v="Product 404"/>
        <s v="Product 565"/>
        <s v="Product 548"/>
        <s v="Product 384"/>
        <s v="Product 581"/>
        <s v="Product 543"/>
        <s v="Product 412"/>
        <s v="Product 111"/>
        <s v="Product 174"/>
        <s v="Product 427"/>
        <s v="Product 416"/>
        <s v="Product 395"/>
        <s v="Product 312"/>
        <s v="Product 292"/>
        <s v="Product 357"/>
        <s v="Product 125"/>
        <s v="Product 323"/>
        <s v="Product 105"/>
        <s v="Product 126"/>
        <s v="Product 342"/>
        <s v="Product 55"/>
        <s v="Product 114"/>
        <s v="Product 175"/>
        <s v="Product 375"/>
        <s v="Product 327"/>
        <s v="Product 438"/>
        <s v="Product 81"/>
        <s v="Product 329"/>
        <s v="Product 101"/>
        <s v="Product 254"/>
        <s v="Product 39"/>
        <s v="Product 417"/>
        <s v="Product 413"/>
        <s v="Product 96"/>
        <s v="Product 411"/>
        <s v="Product 367"/>
        <s v="Product 166"/>
        <s v="Product 425"/>
        <s v="Product 116"/>
        <s v="Product 268"/>
        <s v="Product 361"/>
        <s v="Product 482"/>
        <s v="Product 41"/>
        <s v="Product 187"/>
        <s v="Product 578"/>
        <s v="Product 558"/>
        <s v="Product 177"/>
        <s v="Product 374"/>
        <s v="Product 460"/>
        <s v="Product 248"/>
        <s v="Product 554"/>
        <s v="Product 373"/>
        <s v="Product 51"/>
        <s v="Product 1"/>
        <s v="Product 275"/>
        <s v="Product 320"/>
        <s v="Product 434"/>
        <s v="Product 269"/>
        <s v="Product 430"/>
        <s v="Product 368"/>
        <s v="Product 470"/>
        <s v="Product 130"/>
        <s v="Product 545"/>
        <s v="Product 366"/>
        <s v="Product 549"/>
        <s v="Product 121"/>
        <s v="Product 390"/>
        <s v="Product 468"/>
        <s v="Product 117"/>
        <s v="Product 525"/>
        <s v="Product 457"/>
        <s v="Product 80"/>
        <s v="Product 163"/>
        <s v="Product 317"/>
        <s v="Product 13"/>
        <s v="Product 501"/>
        <s v="Product 298"/>
        <s v="Product 238"/>
        <s v="Product 452"/>
        <s v="Product 271"/>
        <s v="Product 306"/>
        <s v="Product 575"/>
        <s v="Product 489"/>
        <s v="Product 155"/>
        <s v="Product 527"/>
        <s v="Product 481"/>
        <s v="Product 93"/>
        <s v="Product 544"/>
        <s v="Product 54"/>
        <s v="Product 17"/>
        <s v="Product 326"/>
        <s v="Product 428"/>
        <s v="Product 360"/>
        <s v="Product 226"/>
        <s v="Product 277"/>
        <s v="Product 338"/>
        <s v="Product 103"/>
        <s v="Product 260"/>
        <s v="Product 510"/>
        <s v="Product 325"/>
        <s v="Product 595"/>
        <s v="Product 589"/>
        <s v="Product 133"/>
        <s v="Product 540"/>
        <s v="Product 249"/>
        <s v="Product 553"/>
        <s v="Product 419"/>
        <s v="Product 504"/>
        <s v="Product 178"/>
        <s v="Product 66"/>
        <s v="Product 181"/>
        <s v="Product 220"/>
        <s v="Product 135"/>
        <s v="Product 391"/>
        <s v="Product 311"/>
        <s v="Product 332"/>
        <s v="Product 314"/>
        <s v="Product 305"/>
        <s v="Product 494"/>
        <s v="Product 279"/>
        <s v="Product 250"/>
        <s v="Product 217"/>
        <s v="Product 598"/>
        <s v="Product 150"/>
        <s v="Product 582"/>
        <s v="Product 307"/>
        <s v="Product 219"/>
        <s v="Product 78"/>
        <s v="Product 450"/>
        <s v="Product 30"/>
        <s v="Product 410"/>
        <s v="Product 365"/>
        <s v="Product 559"/>
        <s v="Product 393"/>
        <s v="Product 483"/>
        <s v="Product 171"/>
        <s v="Product 34"/>
        <s v="Product 490"/>
        <s v="Product 498"/>
        <s v="Product 170"/>
        <s v="Product 261"/>
        <s v="Product 207"/>
        <s v="Product 172"/>
        <s v="Product 10"/>
        <s v="Product 300"/>
        <s v="Product 246"/>
        <s v="Product 505"/>
        <s v="Product 283"/>
        <s v="Product 347"/>
        <s v="Product 316"/>
        <s v="Product 69"/>
        <s v="Product 213"/>
        <s v="Product 516"/>
        <s v="Product 522"/>
        <s v="Product 301"/>
        <s v="Product 129"/>
        <s v="Product 64"/>
        <s v="Product 196"/>
        <s v="Product 324"/>
        <s v="Product 439"/>
        <s v="Product 542"/>
        <s v="Product 385"/>
        <s v="Product 506"/>
        <s v="Product 567"/>
        <s v="Product 354"/>
        <s v="Product 45"/>
        <s v="Product 587"/>
        <s v="Product 233"/>
        <s v="Product 90"/>
        <s v="Product 478"/>
        <s v="Product 22"/>
        <s v="Product 302"/>
        <s v="Product 356"/>
        <s v="Product 584"/>
        <s v="Product 235"/>
        <s v="Product 476"/>
        <s v="Product 573"/>
        <s v="Product 245"/>
        <s v="Product 32"/>
        <s v="Product 586"/>
        <s v="Product 26"/>
        <s v="Product 335"/>
        <s v="Product 154"/>
        <s v="Product 19"/>
        <s v="Product 570"/>
        <s v="Product 466"/>
        <s v="Product 25"/>
        <s v="Product 115"/>
        <s v="Product 576"/>
        <s v="Product 518"/>
        <s v="Product 15"/>
        <s v="Product 274"/>
        <s v="Product 299"/>
        <s v="Product 152"/>
        <s v="Product 568"/>
        <s v="Product 74"/>
        <s v="Product 454"/>
        <s v="Product 188"/>
        <s v="Product 14"/>
        <s v="Product 240"/>
        <s v="Product 42"/>
        <s v="Product 378"/>
        <s v="Product 363"/>
        <s v="Product 46"/>
        <s v="Product 263"/>
        <s v="Product 89"/>
        <s v="Product 272"/>
        <s v="Product 362"/>
        <s v="Product 282"/>
        <s v="Product 244"/>
        <s v="Product 407"/>
        <s v="Product 56"/>
        <s v="Product 168"/>
        <s v="Product 531"/>
        <s v="Product 572"/>
        <s v="Product 44"/>
        <s v="Product 421"/>
        <s v="Product 83"/>
        <s v="Product 50"/>
        <s v="Product 399"/>
        <s v="Product 547"/>
        <s v="Product 331"/>
        <s v="Product 162"/>
        <s v="Product 113"/>
        <s v="Product 345"/>
        <s v="Product 49"/>
        <s v="Product 273"/>
        <s v="Product 203"/>
        <s v="Product 343"/>
        <s v="Product 12"/>
        <s v="Product 556"/>
        <s v="Product 456"/>
        <s v="Product 18"/>
        <s v="Product 280"/>
        <s v="Product 406"/>
        <s v="Product 441"/>
        <s v="Product 21"/>
        <s v="Product 210"/>
        <s v="Product 388"/>
        <s v="Product 447"/>
        <s v="Product 318"/>
        <s v="Product 303"/>
        <s v="Product 257"/>
        <s v="Product 348"/>
        <s v="Product 534"/>
        <s v="Product 415"/>
        <s v="Product 369"/>
        <s v="Product 297"/>
        <s v="Product 475"/>
        <s v="Product 206"/>
        <s v="Product 184"/>
        <s v="Product 511"/>
        <s v="Product 239"/>
        <s v="Product 524"/>
        <s v="Product 212"/>
        <s v="Product 198"/>
        <s v="Product 507"/>
        <s v="Product 380"/>
        <s v="Product 33"/>
        <s v="Product 253"/>
        <s v="Product 448"/>
        <s v="Product 471"/>
        <s v="Product 405"/>
        <s v="Product 222"/>
        <s v="Product 118"/>
        <s v="Product 137"/>
        <s v="Product 84"/>
        <s v="Product 590"/>
        <s v="Product 204"/>
        <s v="Product 182"/>
        <s v="Product 473"/>
        <s v="Product 266"/>
        <s v="Product 420"/>
        <s v="Product 322"/>
        <s v="Product 465"/>
        <s v="Product 192"/>
        <s v="Product 402"/>
        <s v="Product 583"/>
        <s v="Product 255"/>
        <s v="Product 31"/>
        <s v="Product 16"/>
        <s v="Product 139"/>
        <s v="Product 104"/>
        <s v="Product 517"/>
        <s v="Product 477"/>
        <s v="Product 58"/>
        <s v="Product 541"/>
        <s v="Product 256"/>
        <s v="Product 124"/>
        <s v="Product 142"/>
        <s v="Product 350"/>
        <s v="Product 146"/>
        <s v="Product 209"/>
        <s v="Product 315"/>
        <s v="Product 6"/>
        <s v="Product 431"/>
        <s v="Product 371"/>
        <s v="Product 94"/>
        <s v="Product 398"/>
        <s v="Product 579"/>
        <s v="Product 493"/>
        <s v="Product 122"/>
        <s v="Product 310"/>
        <s v="Product 591"/>
        <s v="Product 379"/>
        <s v="Product 20"/>
        <s v="Product 552"/>
        <s v="Product 91"/>
        <s v="Product 3"/>
        <s v="Product 296"/>
        <s v="Product 474"/>
        <s v="Product 309"/>
        <s v="Product 167"/>
        <s v="Product 562"/>
        <s v="Product 339"/>
        <s v="Product 330"/>
        <s v="Product 11"/>
        <s v="Product 202"/>
        <s v="Product 418"/>
        <s v="Product 148"/>
        <s v="Product 134"/>
        <s v="Product 247"/>
        <s v="Product 120"/>
        <s v="Product 444"/>
        <s v="Product 193"/>
        <s v="Product 512"/>
        <s v="Product 563"/>
        <s v="Product 232"/>
        <s v="Product 528"/>
        <s v="Product 57"/>
        <s v="Product 352"/>
        <s v="Product 185"/>
        <s v="Product 455"/>
        <s v="Product 485"/>
        <s v="Product 500"/>
        <s v="Product 535"/>
        <s v="Product 270"/>
        <s v="Product 27"/>
        <s v="Product 426"/>
        <s v="Product 234"/>
        <s v="Product 231"/>
        <s v="Product 75"/>
        <s v="Product 23"/>
        <s v="Product 262"/>
        <s v="Product 492"/>
        <s v="Product 592"/>
        <s v="Product 186"/>
        <s v="Product 593"/>
        <s v="Product 538"/>
        <s v="Product 215"/>
        <s v="Product 290"/>
        <s v="Product 211"/>
        <s v="Product 293"/>
        <s v="Product 574"/>
        <s v="Product 88"/>
        <s v="Product 151"/>
        <s v="Product 463"/>
        <s v="Product 487"/>
        <s v="Product 52"/>
        <s v="Product 77"/>
        <s v="Product 92"/>
        <s v="Product 8"/>
        <s v="Product 403"/>
        <s v="Product 599"/>
        <s v="Product 9"/>
        <s v="Product 529"/>
        <s v="Product 161"/>
        <s v="Product 267"/>
        <s v="Product 169"/>
        <s v="Product 515"/>
        <s v="Product 453"/>
        <s v="Product 451"/>
        <s v="Product 479"/>
        <s v="Product 588"/>
        <s v="Product 63"/>
        <s v="Product 37"/>
        <s v="Product 2"/>
        <s v="Product 278"/>
        <s v="Product 100"/>
        <s v="Product 85"/>
        <s v="Product 394"/>
        <s v="Product 264"/>
        <s v="Product 119"/>
        <s v="Product 288"/>
        <s v="Product 183"/>
        <s v="Product 127"/>
        <s v="Product 221"/>
        <s v="Product 499"/>
        <s v="Product 48"/>
        <s v="Product 109"/>
        <s v="Product 149"/>
        <s v="Product 560"/>
        <s v="Product 97"/>
        <s v="Product 532"/>
        <s v="Product 295"/>
        <s v="Product 491"/>
        <s v="Product 355"/>
        <s v="Product 397"/>
        <s v="Product 179"/>
        <s v="Product 389"/>
        <s v="Product 35"/>
        <s v="Product 523"/>
        <s v="Product 200"/>
        <s v="Product 533"/>
        <s v="Product 227"/>
        <s v="Product 141"/>
        <s v="Product 140"/>
        <s v="Product 218"/>
        <s v="Product 564"/>
        <s v="Product 349"/>
        <s v="Product 571"/>
        <s v="Product 237"/>
        <s v="Product 424"/>
        <s v="Product 160"/>
        <s v="Product 228"/>
        <s v="Product 459"/>
        <s v="Product 469"/>
        <s v="Product 284"/>
        <s v="Product 65"/>
        <s v="Product 180"/>
        <s v="Product 47"/>
        <s v="Product 157"/>
        <s v="Product 376"/>
        <s v="Product 242"/>
        <s v="Product 102"/>
        <s v="Product 173"/>
        <s v="Product 409"/>
        <s v="Product 414"/>
        <s v="Product 223"/>
        <s v="Product 446"/>
        <s v="Product 467"/>
        <s v="Product 513"/>
        <s v="Product 577"/>
        <s v="Product 408"/>
        <s v="Product 596"/>
        <s v="Product 230"/>
        <s v="Product 29"/>
        <s v="Product 396"/>
        <s v="Product 400"/>
        <s v="Product 480"/>
        <s v="Product 304"/>
        <s v="Product 60"/>
        <s v="Product 440"/>
        <s v="Product 123"/>
        <s v="Product 291"/>
        <s v="Product 521"/>
        <s v="Product 159"/>
        <s v="Product 5"/>
        <s v="Product 381"/>
        <s v="Product 197"/>
        <s v="Product 502"/>
        <s v="Product 319"/>
        <s v="Product 62"/>
        <s v="Product 4"/>
        <s v="Product 364"/>
        <s v="Product 503"/>
        <s v="Product 509"/>
        <s v="Product 519"/>
        <s v="Product 132"/>
        <s v="Product 243"/>
        <s v="Product 308"/>
        <s v="Product 341"/>
        <s v="Product 336"/>
        <s v="Product 337"/>
        <s v="Product 195"/>
        <s v="Product 442"/>
        <s v="Product 229"/>
        <s v="Product 351"/>
        <s v="Product 520"/>
        <s v="Product 107"/>
      </sharedItems>
    </cacheField>
    <cacheField name="Sales" numFmtId="0">
      <sharedItems containsSemiMixedTypes="0" containsString="0" containsNumber="1" minValue="22.83" maxValue="4995.25" count="999">
        <n v="1178.47"/>
        <n v="2812.81"/>
        <n v="1591.25"/>
        <n v="3505.4"/>
        <n v="4153.34"/>
        <n v="4009.68"/>
        <n v="2987.98"/>
        <n v="593.22"/>
        <n v="4381.8"/>
        <n v="648.65"/>
        <n v="207.48"/>
        <n v="3985.94"/>
        <n v="2947.05"/>
        <n v="1014.44"/>
        <n v="1773.64"/>
        <n v="1683.64"/>
        <n v="1391.2"/>
        <n v="2926.7"/>
        <n v="541.89"/>
        <n v="1603.19"/>
        <n v="4988.8599999999997"/>
        <n v="3611.12"/>
        <n v="1328.03"/>
        <n v="4029.01"/>
        <n v="4488.28"/>
        <n v="1295.8699999999999"/>
        <n v="1821.31"/>
        <n v="1565.56"/>
        <n v="4402.1000000000004"/>
        <n v="3515.77"/>
        <n v="1584.93"/>
        <n v="2319.8000000000002"/>
        <n v="2834.68"/>
        <n v="385.95"/>
        <n v="4843.41"/>
        <n v="1241.8699999999999"/>
        <n v="4965.22"/>
        <n v="1207.76"/>
        <n v="3850.66"/>
        <n v="924.78"/>
        <n v="3206.68"/>
        <n v="4306.2700000000004"/>
        <n v="1084.03"/>
        <n v="4751"/>
        <n v="4343.9799999999996"/>
        <n v="1776.45"/>
        <n v="1489.68"/>
        <n v="2887.35"/>
        <n v="3970.7"/>
        <n v="3037.64"/>
        <n v="3906.25"/>
        <n v="1827.18"/>
        <n v="2694.63"/>
        <n v="1020.38"/>
        <n v="1957.5"/>
        <n v="2353.9899999999998"/>
        <n v="3411.57"/>
        <n v="2929.96"/>
        <n v="4187.38"/>
        <n v="900.28"/>
        <n v="4706.95"/>
        <n v="1298.1600000000001"/>
        <n v="1042.3800000000001"/>
        <n v="3417.57"/>
        <n v="1673.99"/>
        <n v="3140.95"/>
        <n v="4799.87"/>
        <n v="444.85"/>
        <n v="1405.66"/>
        <n v="3309.5"/>
        <n v="3482.33"/>
        <n v="628.12"/>
        <n v="2051.4699999999998"/>
        <n v="293.35000000000002"/>
        <n v="1838.13"/>
        <n v="1148.3399999999999"/>
        <n v="4245.6099999999997"/>
        <n v="1594.7"/>
        <n v="389.11"/>
        <n v="3680.47"/>
        <n v="2537.25"/>
        <n v="2960.43"/>
        <n v="4342.87"/>
        <n v="3217.35"/>
        <n v="3380.29"/>
        <n v="3662.8"/>
        <n v="435.22"/>
        <n v="585.67999999999995"/>
        <n v="1876.13"/>
        <n v="3873.23"/>
        <n v="1430.06"/>
        <n v="1905.2"/>
        <n v="3291.95"/>
        <n v="1017.16"/>
        <n v="314.24"/>
        <n v="3328.38"/>
        <n v="2326.52"/>
        <n v="193.11"/>
        <n v="4245.3599999999997"/>
        <n v="3111.33"/>
        <n v="4209.8100000000004"/>
        <n v="4859.96"/>
        <n v="4040.51"/>
        <n v="3133.55"/>
        <n v="488.87"/>
        <n v="3169.44"/>
        <n v="1319.42"/>
        <n v="2684.9"/>
        <n v="779.57"/>
        <n v="1124.2"/>
        <n v="3947.5"/>
        <n v="3920.1"/>
        <n v="4223.6400000000003"/>
        <n v="1262.53"/>
        <n v="2127.06"/>
        <n v="2407.5700000000002"/>
        <n v="3562.03"/>
        <n v="923.52"/>
        <n v="2469.36"/>
        <n v="3630.75"/>
        <n v="2128.2399999999998"/>
        <n v="4363.99"/>
        <n v="679.39"/>
        <n v="3271.71"/>
        <n v="3112.88"/>
        <n v="3501.8"/>
        <n v="3129.89"/>
        <n v="166.33"/>
        <n v="3837.45"/>
        <n v="3728.99"/>
        <n v="4567.12"/>
        <n v="3213.23"/>
        <n v="619.02"/>
        <n v="136.47"/>
        <n v="524.28"/>
        <n v="1839.17"/>
        <n v="1314.14"/>
        <n v="3259.67"/>
        <n v="3574.91"/>
        <n v="4509.2299999999996"/>
        <n v="4451.7299999999996"/>
        <n v="424.38"/>
        <n v="774.68"/>
        <n v="1627.57"/>
        <n v="773.26"/>
        <n v="3699.02"/>
        <n v="2024.76"/>
        <n v="2680.38"/>
        <n v="3707.84"/>
        <n v="643.08000000000004"/>
        <n v="413.87"/>
        <n v="1950.38"/>
        <n v="3999.84"/>
        <n v="4226.8"/>
        <n v="2395.38"/>
        <n v="1098.76"/>
        <n v="4966.49"/>
        <n v="1705.11"/>
        <n v="1280.32"/>
        <n v="2352.8000000000002"/>
        <n v="678.27"/>
        <n v="3252.54"/>
        <n v="4974.6000000000004"/>
        <n v="2067.9299999999998"/>
        <n v="1877.84"/>
        <n v="2913.15"/>
        <n v="2772.71"/>
        <n v="3739.02"/>
        <n v="2900.33"/>
        <n v="1711.46"/>
        <n v="2110.7600000000002"/>
        <n v="2779.45"/>
        <n v="3478.28"/>
        <n v="1225.44"/>
        <n v="2231.9"/>
        <n v="3383.23"/>
        <n v="4071.32"/>
        <n v="1804.88"/>
        <n v="3380.76"/>
        <n v="1665.27"/>
        <n v="4416.2700000000004"/>
        <n v="1742.4"/>
        <n v="194.5"/>
        <n v="1559.25"/>
        <n v="1928.69"/>
        <n v="4671.05"/>
        <n v="4239.17"/>
        <n v="3099.56"/>
        <n v="4182.88"/>
        <n v="58.5"/>
        <n v="4051.88"/>
        <n v="3679.87"/>
        <n v="1240.5999999999999"/>
        <n v="237.71"/>
        <n v="1337.92"/>
        <n v="3090.54"/>
        <n v="4803.54"/>
        <n v="4143.55"/>
        <n v="1825.8"/>
        <n v="2223.77"/>
        <n v="2049.1"/>
        <n v="3734.92"/>
        <n v="4529.2299999999996"/>
        <n v="1727.43"/>
        <n v="1172.18"/>
        <n v="3736.4"/>
        <n v="640.62"/>
        <n v="472.87"/>
        <n v="573.14"/>
        <n v="1104.3900000000001"/>
        <n v="1500.83"/>
        <n v="353.48"/>
        <n v="742.19"/>
        <n v="2400.35"/>
        <n v="1210.26"/>
        <n v="391.34"/>
        <n v="1528.09"/>
        <n v="4914.93"/>
        <n v="4208.76"/>
        <n v="1302.0999999999999"/>
        <n v="4236.13"/>
        <n v="2538.98"/>
        <n v="1593.78"/>
        <n v="995.21"/>
        <n v="1111.46"/>
        <n v="1033.06"/>
        <n v="1092.4100000000001"/>
        <n v="3442.6"/>
        <n v="778.62"/>
        <n v="1868.54"/>
        <n v="4614.28"/>
        <n v="172.53"/>
        <n v="2853.27"/>
        <n v="2192.4899999999998"/>
        <n v="3835.49"/>
        <n v="4987.01"/>
        <n v="4621.84"/>
        <n v="4788.59"/>
        <n v="2521.31"/>
        <n v="4401.17"/>
        <n v="870.17"/>
        <n v="1980.29"/>
        <n v="4593.34"/>
        <n v="2118.12"/>
        <n v="3853.38"/>
        <n v="2383.44"/>
        <n v="2481.23"/>
        <n v="4504.88"/>
        <n v="3885.62"/>
        <n v="320.27999999999997"/>
        <n v="525.85"/>
        <n v="4689.6499999999996"/>
        <n v="1667.99"/>
        <n v="253.57"/>
        <n v="4340.3999999999996"/>
        <n v="1363.31"/>
        <n v="3627.79"/>
        <n v="1685.35"/>
        <n v="2698.6"/>
        <n v="322.14"/>
        <n v="1550.08"/>
        <n v="3665.99"/>
        <n v="1433.11"/>
        <n v="312.31"/>
        <n v="22.83"/>
        <n v="1333.82"/>
        <n v="2314.31"/>
        <n v="4273.43"/>
        <n v="2431.23"/>
        <n v="1486.82"/>
        <n v="2442.9299999999998"/>
        <n v="1017.01"/>
        <n v="2256.5700000000002"/>
        <n v="3557.59"/>
        <n v="3000.17"/>
        <n v="3224.03"/>
        <n v="4075.57"/>
        <n v="3212.9"/>
        <n v="2390.1"/>
        <n v="990.15"/>
        <n v="1219.6400000000001"/>
        <n v="3318.8"/>
        <n v="629.32000000000005"/>
        <n v="2374.66"/>
        <n v="659.22"/>
        <n v="4846.92"/>
        <n v="160.16"/>
        <n v="4813.0600000000004"/>
        <n v="4795.3999999999996"/>
        <n v="3765.22"/>
        <n v="3375.84"/>
        <n v="525.92999999999995"/>
        <n v="179.53"/>
        <n v="2283.5700000000002"/>
        <n v="911.13"/>
        <n v="1627.01"/>
        <n v="4084.82"/>
        <n v="2883.91"/>
        <n v="1859.99"/>
        <n v="2882.01"/>
        <n v="4037.29"/>
        <n v="1261.2"/>
        <n v="856.53"/>
        <n v="4636.9399999999996"/>
        <n v="2120.8000000000002"/>
        <n v="2685.62"/>
        <n v="1111.6400000000001"/>
        <n v="3727.56"/>
        <n v="2654.76"/>
        <n v="26.4"/>
        <n v="1157.8399999999999"/>
        <n v="2542.84"/>
        <n v="1915.12"/>
        <n v="401.61"/>
        <n v="3094.86"/>
        <n v="113.03"/>
        <n v="1189.1600000000001"/>
        <n v="3824.1"/>
        <n v="4318.3599999999997"/>
        <n v="2914.27"/>
        <n v="1376.29"/>
        <n v="2465.6"/>
        <n v="595.16999999999996"/>
        <n v="3401.23"/>
        <n v="4539.75"/>
        <n v="2380.5300000000002"/>
        <n v="1416.59"/>
        <n v="854.85"/>
        <n v="2886.03"/>
        <n v="2677.25"/>
        <n v="4621.8900000000003"/>
        <n v="2075.5100000000002"/>
        <n v="4289.1000000000004"/>
        <n v="440.68"/>
        <n v="1750.71"/>
        <n v="1146.71"/>
        <n v="4280.87"/>
        <n v="2779.78"/>
        <n v="1486"/>
        <n v="1461.66"/>
        <n v="1329.3"/>
        <n v="4168.46"/>
        <n v="2472.9699999999998"/>
        <n v="4769.5200000000004"/>
        <n v="99.22"/>
        <n v="1256.24"/>
        <n v="800.45"/>
        <n v="594.78"/>
        <n v="4988.2"/>
        <n v="1873.25"/>
        <n v="4364.33"/>
        <n v="3132.42"/>
        <n v="2127.66"/>
        <n v="1338.76"/>
        <n v="1233.29"/>
        <n v="1577.1"/>
        <n v="2355.86"/>
        <n v="202.14"/>
        <n v="1940.3"/>
        <n v="1974.82"/>
        <n v="4183.33"/>
        <n v="2532.94"/>
        <n v="130.72"/>
        <n v="96.17"/>
        <n v="4028.23"/>
        <n v="1519.5"/>
        <n v="1437.25"/>
        <n v="1318.3"/>
        <n v="1274.6300000000001"/>
        <n v="3933.04"/>
        <n v="503.88"/>
        <n v="748.65"/>
        <n v="4190.03"/>
        <n v="2737.49"/>
        <n v="689.11"/>
        <n v="82.55"/>
        <n v="509.23"/>
        <n v="2477.04"/>
        <n v="4310.8100000000004"/>
        <n v="4948.58"/>
        <n v="1076.79"/>
        <n v="3866.86"/>
        <n v="2946.51"/>
        <n v="1307.4100000000001"/>
        <n v="109.5"/>
        <n v="1400.53"/>
        <n v="3993.85"/>
        <n v="4344.6000000000004"/>
        <n v="243.71"/>
        <n v="4452.25"/>
        <n v="385.51"/>
        <n v="4949.87"/>
        <n v="142.79"/>
        <n v="2705.21"/>
        <n v="2449.92"/>
        <n v="2500.64"/>
        <n v="448.96"/>
        <n v="2213.2600000000002"/>
        <n v="876.53"/>
        <n v="4243.16"/>
        <n v="809.37"/>
        <n v="1271.52"/>
        <n v="2363.2199999999998"/>
        <n v="3864.22"/>
        <n v="3612.39"/>
        <n v="3746.84"/>
        <n v="807.8"/>
        <n v="568.04"/>
        <n v="4320.46"/>
        <n v="3105.6"/>
        <n v="4345.97"/>
        <n v="2676.6"/>
        <n v="4012.71"/>
        <n v="3556.85"/>
        <n v="3949.12"/>
        <n v="345.98"/>
        <n v="35.01"/>
        <n v="1730.57"/>
        <n v="869.08"/>
        <n v="930.99"/>
        <n v="642.84"/>
        <n v="2588.64"/>
        <n v="279.83"/>
        <n v="76.75"/>
        <n v="1882.25"/>
        <n v="855.78"/>
        <n v="2680.46"/>
        <n v="4479.7"/>
        <n v="610.84"/>
        <n v="2788.48"/>
        <n v="3300.66"/>
        <n v="85.77"/>
        <n v="1750.86"/>
        <n v="3300.88"/>
        <n v="3751.11"/>
        <n v="3985.32"/>
        <n v="2521.4299999999998"/>
        <n v="749.4"/>
        <n v="1588.88"/>
        <n v="3857.96"/>
        <n v="237.81"/>
        <n v="794.19"/>
        <n v="2844.92"/>
        <n v="3609.39"/>
        <n v="3942.76"/>
        <n v="1056.3699999999999"/>
        <n v="1846.76"/>
        <n v="1279.08"/>
        <n v="1437.4"/>
        <n v="4030.8"/>
        <n v="1902.43"/>
        <n v="1792.34"/>
        <n v="4300.5"/>
        <n v="1891.96"/>
        <n v="2473.11"/>
        <n v="833.73"/>
        <n v="1673.22"/>
        <n v="4619.59"/>
        <n v="879.64"/>
        <n v="3622.92"/>
        <n v="3002.49"/>
        <n v="2413.6799999999998"/>
        <n v="2588.58"/>
        <n v="1418.25"/>
        <n v="1196.3"/>
        <n v="1508.71"/>
        <n v="604.45000000000005"/>
        <n v="799.12"/>
        <n v="2953.52"/>
        <n v="3979.22"/>
        <n v="3914.66"/>
        <n v="4003.7"/>
        <n v="1538.95"/>
        <n v="3865.92"/>
        <n v="1843.01"/>
        <n v="2568.48"/>
        <n v="1382.79"/>
        <n v="2447.4"/>
        <n v="2060.3200000000002"/>
        <n v="1627.46"/>
        <n v="2278.63"/>
        <n v="3354.63"/>
        <n v="2307.27"/>
        <n v="1611.86"/>
        <n v="1652.73"/>
        <n v="3669.54"/>
        <n v="4785.55"/>
        <n v="3858.74"/>
        <n v="2629.8"/>
        <n v="3117.45"/>
        <n v="3312.12"/>
        <n v="474.74"/>
        <n v="981.01"/>
        <n v="4210.0600000000004"/>
        <n v="202.66"/>
        <n v="2530.08"/>
        <n v="1540.39"/>
        <n v="3269.43"/>
        <n v="4086.32"/>
        <n v="4546.75"/>
        <n v="142.22999999999999"/>
        <n v="743.73"/>
        <n v="3465.16"/>
        <n v="2913.01"/>
        <n v="4493.25"/>
        <n v="3936.73"/>
        <n v="3005.18"/>
        <n v="3015.85"/>
        <n v="4864.13"/>
        <n v="449.75"/>
        <n v="2691.62"/>
        <n v="312.75"/>
        <n v="4185.55"/>
        <n v="3259.74"/>
        <n v="3863.59"/>
        <n v="3837.14"/>
        <n v="4602.92"/>
        <n v="1481.29"/>
        <n v="2606.14"/>
        <n v="2254.71"/>
        <n v="1433.03"/>
        <n v="389.35"/>
        <n v="1230.75"/>
        <n v="1271.8900000000001"/>
        <n v="1164.3900000000001"/>
        <n v="3199.46"/>
        <n v="3072.62"/>
        <n v="3859.65"/>
        <n v="4424.54"/>
        <n v="1773.34"/>
        <n v="742.44"/>
        <n v="646.86"/>
        <n v="3465.35"/>
        <n v="3850.41"/>
        <n v="486.15"/>
        <n v="1817.25"/>
        <n v="4816.58"/>
        <n v="426.46"/>
        <n v="4138.2700000000004"/>
        <n v="4849.32"/>
        <n v="2340.91"/>
        <n v="4039.37"/>
        <n v="384.46"/>
        <n v="4599.8500000000004"/>
        <n v="3812.21"/>
        <n v="2217.8200000000002"/>
        <n v="2309.0700000000002"/>
        <n v="3222.42"/>
        <n v="964.27"/>
        <n v="2045.48"/>
        <n v="4703.3900000000003"/>
        <n v="3492.04"/>
        <n v="2515.69"/>
        <n v="681.16"/>
        <n v="2828.69"/>
        <n v="231.7"/>
        <n v="278.91000000000003"/>
        <n v="1079.51"/>
        <n v="2210.2800000000002"/>
        <n v="611.96"/>
        <n v="2538.2800000000002"/>
        <n v="3381.52"/>
        <n v="4995.25"/>
        <n v="2693.18"/>
        <n v="887.26"/>
        <n v="4133.84"/>
        <n v="605.30999999999995"/>
        <n v="4453.5200000000004"/>
        <n v="2313.9899999999998"/>
        <n v="2815.1"/>
        <n v="624.62"/>
        <n v="631.46"/>
        <n v="660.81"/>
        <n v="2521.2199999999998"/>
        <n v="2376.31"/>
        <n v="2985.62"/>
        <n v="1643.4"/>
        <n v="2720.06"/>
        <n v="2959.35"/>
        <n v="3388.86"/>
        <n v="83.69"/>
        <n v="244.15"/>
        <n v="3552.23"/>
        <n v="2962.22"/>
        <n v="1641.46"/>
        <n v="2310.0300000000002"/>
        <n v="2811.86"/>
        <n v="3524.33"/>
        <n v="266.16000000000003"/>
        <n v="1915.29"/>
        <n v="4921.0200000000004"/>
        <n v="847.75"/>
        <n v="2823.67"/>
        <n v="1668.13"/>
        <n v="1036.3399999999999"/>
        <n v="2577.9299999999998"/>
        <n v="4842.07"/>
        <n v="1526.88"/>
        <n v="4238.33"/>
        <n v="3343.39"/>
        <n v="3451.71"/>
        <n v="4951.4799999999996"/>
        <n v="4059.28"/>
        <n v="2326.19"/>
        <n v="221.47"/>
        <n v="3855.18"/>
        <n v="2939.34"/>
        <n v="4581.55"/>
        <n v="3829.52"/>
        <n v="4236.7299999999996"/>
        <n v="2335.2399999999998"/>
        <n v="1436.9"/>
        <n v="4297.7700000000004"/>
        <n v="1735.89"/>
        <n v="371.45"/>
        <n v="3848.99"/>
        <n v="2359.62"/>
        <n v="3626.39"/>
        <n v="770.25"/>
        <n v="4160.24"/>
        <n v="2031.05"/>
        <n v="189.67"/>
        <n v="1504.38"/>
        <n v="2754.16"/>
        <n v="4045.78"/>
        <n v="1593.75"/>
        <n v="4497.8100000000004"/>
        <n v="711.61"/>
        <n v="4719.13"/>
        <n v="365.3"/>
        <n v="1883.55"/>
        <n v="2506.62"/>
        <n v="2281.8000000000002"/>
        <n v="3496.85"/>
        <n v="37.130000000000003"/>
        <n v="2920.05"/>
        <n v="4038.96"/>
        <n v="680.48"/>
        <n v="4447.2700000000004"/>
        <n v="4440.84"/>
        <n v="2164.06"/>
        <n v="1424.6"/>
        <n v="3201.02"/>
        <n v="3925.5"/>
        <n v="4168.3599999999997"/>
        <n v="4479.8"/>
        <n v="3654.96"/>
        <n v="121.72"/>
        <n v="4538.2700000000004"/>
        <n v="2951.47"/>
        <n v="4240.03"/>
        <n v="4901.28"/>
        <n v="4737.5200000000004"/>
        <n v="3346.83"/>
        <n v="1450.98"/>
        <n v="2940.34"/>
        <n v="1004.62"/>
        <n v="2085.4"/>
        <n v="2629.16"/>
        <n v="2440.1"/>
        <n v="3885.63"/>
        <n v="4764.3"/>
        <n v="4310.29"/>
        <n v="1182.96"/>
        <n v="1295.3800000000001"/>
        <n v="4148.9399999999996"/>
        <n v="1478.52"/>
        <n v="1750.36"/>
        <n v="1122.5899999999999"/>
        <n v="480.92"/>
        <n v="4480.8100000000004"/>
        <n v="2838.67"/>
        <n v="4965.6899999999996"/>
        <n v="3646.45"/>
        <n v="3521.46"/>
        <n v="4033.81"/>
        <n v="633.28"/>
        <n v="3427.68"/>
        <n v="4086.74"/>
        <n v="169.54"/>
        <n v="4242.12"/>
        <n v="4206.5"/>
        <n v="1346.85"/>
        <n v="2658.82"/>
        <n v="3487.03"/>
        <n v="805.23"/>
        <n v="3321.47"/>
        <n v="2290.7800000000002"/>
        <n v="2888.68"/>
        <n v="574.04999999999995"/>
        <n v="3153.47"/>
        <n v="4536.24"/>
        <n v="2981.71"/>
        <n v="4339.42"/>
        <n v="2883.68"/>
        <n v="2534.4899999999998"/>
        <n v="4769.2"/>
        <n v="4716.2"/>
        <n v="638.29"/>
        <n v="2665.63"/>
        <n v="4855.12"/>
        <n v="594.72"/>
        <n v="4416.33"/>
        <n v="3612.84"/>
        <n v="4932.55"/>
        <n v="4128.76"/>
        <n v="128.33000000000001"/>
        <n v="1235.67"/>
        <n v="4433.03"/>
        <n v="2837.68"/>
        <n v="2194.35"/>
        <n v="4695.3500000000004"/>
        <n v="2196.66"/>
        <n v="4934.38"/>
        <n v="4678"/>
        <n v="3552.6"/>
        <n v="1993.45"/>
        <n v="2816.76"/>
        <n v="3783.52"/>
        <n v="2770.34"/>
        <n v="2678.94"/>
        <n v="1474.25"/>
        <n v="1821.13"/>
        <n v="3031.99"/>
        <n v="3837.64"/>
        <n v="4122.92"/>
        <n v="4288.7700000000004"/>
        <n v="1679.44"/>
        <n v="4488.08"/>
        <n v="2686.69"/>
        <n v="1097.01"/>
        <n v="2776.84"/>
        <n v="4765.26"/>
        <n v="4091.98"/>
        <n v="4416.42"/>
        <n v="2562.4"/>
        <n v="1351.23"/>
        <n v="2994.32"/>
        <n v="838.42"/>
        <n v="1754.07"/>
        <n v="1604.1"/>
        <n v="283.14999999999998"/>
        <n v="2339.2600000000002"/>
        <n v="4423.92"/>
        <n v="3393.72"/>
        <n v="4663.6000000000004"/>
        <n v="1146.57"/>
        <n v="4336.8500000000004"/>
        <n v="3922.6"/>
        <n v="1200.26"/>
        <n v="2768.91"/>
        <n v="4111.3599999999997"/>
        <n v="2021.99"/>
        <n v="4146.58"/>
        <n v="3867.34"/>
        <n v="4280.62"/>
        <n v="778.97"/>
        <n v="562.54"/>
        <n v="3264.2"/>
        <n v="3350.63"/>
        <n v="1903.81"/>
        <n v="4894.38"/>
        <n v="3796.7"/>
        <n v="3124.79"/>
        <n v="624.30999999999995"/>
        <n v="4707.45"/>
        <n v="216.58"/>
        <n v="1520.68"/>
        <n v="3240.76"/>
        <n v="1487.64"/>
        <n v="162.82"/>
        <n v="2342.4899999999998"/>
        <n v="932.48"/>
        <n v="3855.98"/>
        <n v="3304.8"/>
        <n v="2095.46"/>
        <n v="3256.97"/>
        <n v="3418.49"/>
        <n v="1177.22"/>
        <n v="215.85"/>
        <n v="133.24"/>
        <n v="4704.83"/>
        <n v="387.19"/>
        <n v="2311.86"/>
        <n v="2031.24"/>
        <n v="2729.22"/>
        <n v="1000.5"/>
        <n v="3457.41"/>
        <n v="2780.2"/>
        <n v="3456.2"/>
        <n v="4631.0600000000004"/>
        <n v="3919.39"/>
        <n v="1722.15"/>
        <n v="2569.3000000000002"/>
        <n v="1351.93"/>
        <n v="2363.86"/>
        <n v="1229.54"/>
        <n v="3501.03"/>
        <n v="695.3"/>
        <n v="202.78"/>
        <n v="1056.77"/>
        <n v="2324.34"/>
        <n v="1123.67"/>
        <n v="957.02"/>
        <n v="2102.86"/>
        <n v="3421.81"/>
        <n v="1774.95"/>
        <n v="152.21"/>
        <n v="665.35"/>
        <n v="2598.63"/>
        <n v="426.19"/>
        <n v="1089.9100000000001"/>
        <n v="4114.12"/>
        <n v="332.16"/>
        <n v="2823.8"/>
        <n v="4839.07"/>
        <n v="3462.8"/>
        <n v="900.45"/>
        <n v="1611.08"/>
        <n v="504.41"/>
        <n v="2539.25"/>
        <n v="4108.2"/>
        <n v="4780.09"/>
        <n v="2842.69"/>
        <n v="3225.42"/>
        <n v="3120.5"/>
        <n v="3270.91"/>
        <n v="1687.62"/>
        <n v="249.57"/>
        <n v="1978.74"/>
        <n v="2059.0700000000002"/>
        <n v="2519.79"/>
        <n v="3487.41"/>
        <n v="2004.22"/>
        <n v="1594.24"/>
        <n v="4780.46"/>
        <n v="1003.04"/>
        <n v="2743.37"/>
        <n v="1828.69"/>
        <n v="1117.68"/>
        <n v="4645.41"/>
        <n v="3264.13"/>
        <n v="4005.99"/>
        <n v="1517.3"/>
        <n v="951.94"/>
        <n v="3038.2"/>
        <n v="2727.41"/>
        <n v="925.89"/>
        <n v="1724.97"/>
        <n v="1693.86"/>
        <n v="841.4"/>
        <n v="1776.68"/>
        <n v="4087.67"/>
        <n v="2563.02"/>
        <n v="1378.72"/>
        <n v="4738.55"/>
        <n v="3900.98"/>
        <n v="3118.77"/>
        <n v="3800.54"/>
        <n v="593.1"/>
        <n v="1988.31"/>
        <n v="4257.6899999999996"/>
        <n v="845.72"/>
        <n v="981.05"/>
        <n v="3078.41"/>
        <n v="1999.93"/>
        <n v="2268.85"/>
        <n v="2738.15"/>
        <n v="4530.3999999999996"/>
        <n v="4438.3100000000004"/>
        <n v="3831.74"/>
        <n v="2681.93"/>
        <n v="3670"/>
        <n v="3495.65"/>
        <n v="2711.16"/>
        <n v="3064.71"/>
        <n v="1204.4100000000001"/>
        <n v="821.55"/>
        <n v="1692.56"/>
        <n v="4947.25"/>
        <n v="3201.08"/>
        <n v="3220.36"/>
        <n v="2291.75"/>
        <n v="2167.41"/>
        <n v="90.04"/>
        <n v="4613.87"/>
        <n v="1962.18"/>
        <n v="3650.92"/>
        <n v="2107.4899999999998"/>
        <n v="1315.2"/>
        <n v="2231.96"/>
        <n v="936.58"/>
        <n v="2060.6999999999998"/>
        <n v="3974.56"/>
        <n v="3398.81"/>
        <n v="2593.9"/>
        <n v="3539.69"/>
        <n v="379.65"/>
        <n v="4607.84"/>
        <n v="2937.75"/>
        <n v="4247.95"/>
        <n v="785.77"/>
        <n v="561.83000000000004"/>
        <n v="1853.91"/>
        <n v="1726.95"/>
        <n v="2753.54"/>
        <n v="3898.79"/>
        <n v="2713.82"/>
        <n v="1032.6199999999999"/>
        <n v="3420.6"/>
        <n v="3696.06"/>
        <n v="914.88"/>
        <n v="2989.92"/>
        <n v="3221.66"/>
        <n v="2258.33"/>
        <n v="2421.41"/>
        <n v="1146.73"/>
        <n v="3016.05"/>
        <n v="3091.86"/>
        <n v="4610.08"/>
        <n v="4191.78"/>
        <n v="3898.29"/>
        <n v="1805.5"/>
        <n v="3900.86"/>
        <n v="1729.01"/>
        <n v="2556.56"/>
        <n v="2708.31"/>
        <n v="3849.29"/>
        <n v="1227.8499999999999"/>
        <n v="1714.39"/>
        <n v="2573.7800000000002"/>
        <n v="632.72"/>
        <n v="4032.69"/>
        <n v="386.82"/>
        <n v="3724.45"/>
        <n v="3349.94"/>
        <n v="2669.31"/>
        <n v="3458.48"/>
        <n v="1411.79"/>
        <n v="563.73"/>
        <n v="3760.5"/>
        <n v="2896.38"/>
        <n v="2568.54"/>
        <n v="3512.98"/>
        <n v="4681.43"/>
        <n v="1347.67"/>
        <n v="4775.09"/>
        <n v="3754.98"/>
        <n v="1022.27"/>
        <n v="891.38"/>
        <n v="3001.37"/>
        <n v="970"/>
        <n v="1126.82"/>
        <n v="3375.41"/>
        <n v="3481.17"/>
        <n v="2472.92"/>
        <n v="2122.8000000000002"/>
        <n v="856.49"/>
        <n v="1422.54"/>
        <n v="436.14"/>
        <n v="1186.6500000000001"/>
        <n v="2645.93"/>
        <n v="3748.6"/>
        <n v="1431.87"/>
        <n v="4456.93"/>
        <n v="163.19999999999999"/>
        <n v="4325.78"/>
        <n v="1793.86"/>
        <n v="1226.04"/>
        <n v="176.83"/>
        <n v="745.96"/>
        <n v="3030.89"/>
        <n v="4557.32"/>
        <n v="3086.32"/>
        <n v="2258.54"/>
        <n v="1410.96"/>
        <n v="2503.61"/>
        <n v="3714.42"/>
        <n v="402.82"/>
        <n v="2896.89"/>
        <n v="799.39"/>
        <n v="4737.7299999999996"/>
        <n v="607.80999999999995"/>
        <n v="3406.13"/>
        <n v="4189.78"/>
        <n v="2003.01"/>
        <n v="4143.47"/>
        <n v="2410.17"/>
        <n v="2707.01"/>
        <n v="1911.54"/>
        <n v="4178.01"/>
        <n v="1839.74"/>
        <n v="2912.11"/>
        <n v="2475.58"/>
        <n v="3102.78"/>
        <n v="643.57000000000005"/>
        <n v="4991.4399999999996"/>
        <n v="3323.77"/>
        <n v="2070.13"/>
      </sharedItems>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1"/>
    </cacheField>
    <cacheField name="Profit" numFmtId="0">
      <sharedItems containsSemiMixedTypes="0" containsString="0" containsNumber="1" minValue="-990.7" maxValue="2761.51"/>
    </cacheField>
    <cacheField name="Profit %" numFmtId="0" formula="Profit/Sales" databaseField="0"/>
    <cacheField name="Months (Order Date)" numFmtId="0" databaseField="0">
      <fieldGroup base="1">
        <rangePr groupBy="months" startDate="2018-01-01T00:00:00" endDate="2021-01-01T00:00:00"/>
        <groupItems count="14">
          <s v="&lt;01-01-2018"/>
          <s v="Jan"/>
          <s v="Feb"/>
          <s v="Mar"/>
          <s v="Apr"/>
          <s v="May"/>
          <s v="Jun"/>
          <s v="Jul"/>
          <s v="Aug"/>
          <s v="Sep"/>
          <s v="Oct"/>
          <s v="Nov"/>
          <s v="Dec"/>
          <s v="&gt;01-01-2021"/>
        </groupItems>
      </fieldGroup>
    </cacheField>
    <cacheField name="Quarters (Order Date)" numFmtId="0" databaseField="0">
      <fieldGroup base="1">
        <rangePr groupBy="quarters" startDate="2018-01-01T00:00:00" endDate="2021-01-01T00:00:00"/>
        <groupItems count="6">
          <s v="&lt;01-01-2018"/>
          <s v="Qtr1"/>
          <s v="Qtr2"/>
          <s v="Qtr3"/>
          <s v="Qtr4"/>
          <s v="&gt;01-01-2021"/>
        </groupItems>
      </fieldGroup>
    </cacheField>
    <cacheField name="Years (Order Date)" numFmtId="0" databaseField="0">
      <fieldGroup base="1">
        <rangePr groupBy="years" startDate="2018-01-01T00:00:00" endDate="2021-01-01T00:00:00"/>
        <groupItems count="6">
          <s v="&lt;01-01-2018"/>
          <s v="2018"/>
          <s v="2019"/>
          <s v="2020"/>
          <s v="2021"/>
          <s v="&gt;01-01-2021"/>
        </groupItems>
      </fieldGroup>
    </cacheField>
    <cacheField name="% of Orders" numFmtId="0" formula="'Ship Mode'/'Order ID'" databaseField="0"/>
    <cacheField name="Field1" numFmtId="0" formula="'Ship Mode'/'Order ID'" databaseField="0"/>
    <cacheField name="Field2" numFmtId="0" formula="'Order ID'/'Ship Mode'" databaseField="0"/>
  </cacheFields>
  <extLst>
    <ext xmlns:x14="http://schemas.microsoft.com/office/spreadsheetml/2009/9/main" uri="{725AE2AE-9491-48be-B2B4-4EB974FC3084}">
      <x14:pivotCacheDefinition pivotCacheId="7107932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
    <x v="0"/>
    <x v="0"/>
    <x v="0"/>
    <s v="CUST-9743"/>
    <s v="Customer 86"/>
    <x v="0"/>
    <s v="United States"/>
    <s v="New York"/>
    <x v="0"/>
    <n v="60246"/>
    <x v="0"/>
    <s v="PROD-9068"/>
    <x v="0"/>
    <x v="0"/>
    <x v="0"/>
    <x v="0"/>
    <n v="4"/>
    <n v="0.14000000000000001"/>
    <n v="606.95000000000005"/>
  </r>
  <r>
    <s v="ORD-1001"/>
    <x v="1"/>
    <x v="1"/>
    <x v="1"/>
    <s v="CUST-5255"/>
    <s v="Customer 167"/>
    <x v="1"/>
    <s v="United States"/>
    <s v="Phoenix"/>
    <x v="1"/>
    <n v="10511"/>
    <x v="1"/>
    <s v="PROD-4030"/>
    <x v="0"/>
    <x v="1"/>
    <x v="1"/>
    <x v="1"/>
    <n v="13"/>
    <n v="0.25"/>
    <n v="44.36"/>
  </r>
  <r>
    <s v="ORD-1002"/>
    <x v="2"/>
    <x v="2"/>
    <x v="2"/>
    <s v="CUST-7743"/>
    <s v="Customer 255"/>
    <x v="1"/>
    <s v="United States"/>
    <s v="New York"/>
    <x v="2"/>
    <n v="51124"/>
    <x v="1"/>
    <s v="PROD-3465"/>
    <x v="1"/>
    <x v="2"/>
    <x v="2"/>
    <x v="2"/>
    <n v="2"/>
    <n v="1"/>
    <n v="-81.94"/>
  </r>
  <r>
    <s v="ORD-1003"/>
    <x v="3"/>
    <x v="3"/>
    <x v="2"/>
    <s v="CUST-7363"/>
    <s v="Customer 286"/>
    <x v="1"/>
    <s v="United States"/>
    <s v="Phoenix"/>
    <x v="3"/>
    <n v="82244"/>
    <x v="1"/>
    <s v="PROD-3487"/>
    <x v="1"/>
    <x v="3"/>
    <x v="3"/>
    <x v="3"/>
    <n v="7"/>
    <n v="0.85"/>
    <n v="1598.96"/>
  </r>
  <r>
    <s v="ORD-1004"/>
    <x v="4"/>
    <x v="4"/>
    <x v="0"/>
    <s v="CUST-9850"/>
    <s v="Customer 196"/>
    <x v="0"/>
    <s v="United States"/>
    <s v="Los Angeles"/>
    <x v="4"/>
    <n v="24855"/>
    <x v="1"/>
    <s v="PROD-8799"/>
    <x v="0"/>
    <x v="1"/>
    <x v="4"/>
    <x v="4"/>
    <n v="7"/>
    <n v="0.77"/>
    <n v="-651.24"/>
  </r>
  <r>
    <s v="ORD-1005"/>
    <x v="5"/>
    <x v="5"/>
    <x v="3"/>
    <s v="CUST-3470"/>
    <s v="Customer 97"/>
    <x v="1"/>
    <s v="United States"/>
    <s v="Seattle"/>
    <x v="1"/>
    <n v="10758"/>
    <x v="0"/>
    <s v="PROD-4149"/>
    <x v="1"/>
    <x v="4"/>
    <x v="5"/>
    <x v="5"/>
    <n v="8"/>
    <n v="0.9"/>
    <n v="1117.8"/>
  </r>
  <r>
    <s v="ORD-1006"/>
    <x v="6"/>
    <x v="6"/>
    <x v="1"/>
    <s v="CUST-7529"/>
    <s v="Customer 441"/>
    <x v="0"/>
    <s v="United States"/>
    <s v="Miami"/>
    <x v="1"/>
    <n v="23927"/>
    <x v="2"/>
    <s v="PROD-7200"/>
    <x v="2"/>
    <x v="5"/>
    <x v="6"/>
    <x v="6"/>
    <n v="13"/>
    <n v="0.9"/>
    <n v="-252.9"/>
  </r>
  <r>
    <s v="ORD-1007"/>
    <x v="7"/>
    <x v="7"/>
    <x v="0"/>
    <s v="CUST-9665"/>
    <s v="Customer 159"/>
    <x v="1"/>
    <s v="United States"/>
    <s v="Dallas"/>
    <x v="2"/>
    <n v="43182"/>
    <x v="0"/>
    <s v="PROD-4907"/>
    <x v="1"/>
    <x v="2"/>
    <x v="7"/>
    <x v="7"/>
    <n v="14"/>
    <n v="0.85"/>
    <n v="260.63"/>
  </r>
  <r>
    <s v="ORD-1008"/>
    <x v="8"/>
    <x v="8"/>
    <x v="2"/>
    <s v="CUST-6495"/>
    <s v="Customer 317"/>
    <x v="1"/>
    <s v="United States"/>
    <s v="Dallas"/>
    <x v="5"/>
    <n v="53084"/>
    <x v="2"/>
    <s v="PROD-5702"/>
    <x v="2"/>
    <x v="6"/>
    <x v="8"/>
    <x v="8"/>
    <n v="9"/>
    <n v="0.89"/>
    <n v="1286.3499999999999"/>
  </r>
  <r>
    <s v="ORD-1009"/>
    <x v="9"/>
    <x v="9"/>
    <x v="0"/>
    <s v="CUST-4384"/>
    <s v="Customer 420"/>
    <x v="1"/>
    <s v="United States"/>
    <s v="Los Angeles"/>
    <x v="4"/>
    <n v="81616"/>
    <x v="2"/>
    <s v="PROD-8342"/>
    <x v="1"/>
    <x v="4"/>
    <x v="9"/>
    <x v="9"/>
    <n v="1"/>
    <n v="0.27"/>
    <n v="370.21"/>
  </r>
  <r>
    <s v="ORD-1010"/>
    <x v="10"/>
    <x v="10"/>
    <x v="1"/>
    <s v="CUST-3296"/>
    <s v="Customer 449"/>
    <x v="2"/>
    <s v="United States"/>
    <s v="Denver"/>
    <x v="0"/>
    <n v="71497"/>
    <x v="3"/>
    <s v="PROD-2935"/>
    <x v="2"/>
    <x v="7"/>
    <x v="10"/>
    <x v="10"/>
    <n v="11"/>
    <n v="0.75"/>
    <n v="35.380000000000003"/>
  </r>
  <r>
    <s v="ORD-1011"/>
    <x v="11"/>
    <x v="11"/>
    <x v="2"/>
    <s v="CUST-7313"/>
    <s v="Customer 190"/>
    <x v="2"/>
    <s v="United States"/>
    <s v="Miami"/>
    <x v="6"/>
    <n v="73681"/>
    <x v="2"/>
    <s v="PROD-5247"/>
    <x v="0"/>
    <x v="1"/>
    <x v="11"/>
    <x v="11"/>
    <n v="9"/>
    <n v="0.43"/>
    <n v="-634.44000000000005"/>
  </r>
  <r>
    <s v="ORD-1012"/>
    <x v="12"/>
    <x v="12"/>
    <x v="0"/>
    <s v="CUST-8276"/>
    <s v="Customer 194"/>
    <x v="0"/>
    <s v="United States"/>
    <s v="Miami"/>
    <x v="2"/>
    <n v="74820"/>
    <x v="1"/>
    <s v="PROD-2346"/>
    <x v="2"/>
    <x v="5"/>
    <x v="12"/>
    <x v="12"/>
    <n v="5"/>
    <n v="0.53"/>
    <n v="1205.02"/>
  </r>
  <r>
    <s v="ORD-1013"/>
    <x v="13"/>
    <x v="13"/>
    <x v="2"/>
    <s v="CUST-6453"/>
    <s v="Customer 224"/>
    <x v="1"/>
    <s v="United States"/>
    <s v="Seattle"/>
    <x v="4"/>
    <n v="68286"/>
    <x v="1"/>
    <s v="PROD-9373"/>
    <x v="1"/>
    <x v="4"/>
    <x v="13"/>
    <x v="13"/>
    <n v="8"/>
    <n v="0.17"/>
    <n v="150.80000000000001"/>
  </r>
  <r>
    <s v="ORD-1014"/>
    <x v="14"/>
    <x v="14"/>
    <x v="1"/>
    <s v="CUST-1037"/>
    <s v="Customer 203"/>
    <x v="0"/>
    <s v="United States"/>
    <s v="Phoenix"/>
    <x v="7"/>
    <n v="80824"/>
    <x v="2"/>
    <s v="PROD-2052"/>
    <x v="1"/>
    <x v="2"/>
    <x v="14"/>
    <x v="14"/>
    <n v="3"/>
    <n v="0.6"/>
    <n v="310.24"/>
  </r>
  <r>
    <s v="ORD-1015"/>
    <x v="15"/>
    <x v="15"/>
    <x v="0"/>
    <s v="CUST-7231"/>
    <s v="Customer 84"/>
    <x v="1"/>
    <s v="United States"/>
    <s v="Seattle"/>
    <x v="5"/>
    <n v="39840"/>
    <x v="3"/>
    <s v="PROD-8359"/>
    <x v="2"/>
    <x v="7"/>
    <x v="15"/>
    <x v="15"/>
    <n v="12"/>
    <n v="0.59"/>
    <n v="184.95"/>
  </r>
  <r>
    <s v="ORD-1016"/>
    <x v="16"/>
    <x v="16"/>
    <x v="0"/>
    <s v="CUST-7154"/>
    <s v="Customer 68"/>
    <x v="2"/>
    <s v="United States"/>
    <s v="Seattle"/>
    <x v="7"/>
    <n v="54046"/>
    <x v="3"/>
    <s v="PROD-4383"/>
    <x v="0"/>
    <x v="8"/>
    <x v="16"/>
    <x v="16"/>
    <n v="4"/>
    <n v="0.43"/>
    <n v="-96.28"/>
  </r>
  <r>
    <s v="ORD-1017"/>
    <x v="17"/>
    <x v="17"/>
    <x v="2"/>
    <s v="CUST-5677"/>
    <s v="Customer 353"/>
    <x v="0"/>
    <s v="United States"/>
    <s v="Denver"/>
    <x v="7"/>
    <n v="66540"/>
    <x v="3"/>
    <s v="PROD-7999"/>
    <x v="0"/>
    <x v="9"/>
    <x v="17"/>
    <x v="17"/>
    <n v="12"/>
    <n v="0.05"/>
    <n v="1580.68"/>
  </r>
  <r>
    <s v="ORD-1018"/>
    <x v="18"/>
    <x v="18"/>
    <x v="0"/>
    <s v="CUST-7984"/>
    <s v="Customer 290"/>
    <x v="2"/>
    <s v="United States"/>
    <s v="Dallas"/>
    <x v="0"/>
    <n v="21785"/>
    <x v="3"/>
    <s v="PROD-2445"/>
    <x v="0"/>
    <x v="8"/>
    <x v="18"/>
    <x v="18"/>
    <n v="9"/>
    <n v="0.52"/>
    <n v="173.98"/>
  </r>
  <r>
    <s v="ORD-1019"/>
    <x v="19"/>
    <x v="19"/>
    <x v="3"/>
    <s v="CUST-1682"/>
    <s v="Customer 125"/>
    <x v="1"/>
    <s v="United States"/>
    <s v="Phoenix"/>
    <x v="7"/>
    <n v="42575"/>
    <x v="0"/>
    <s v="PROD-8212"/>
    <x v="1"/>
    <x v="10"/>
    <x v="19"/>
    <x v="19"/>
    <n v="14"/>
    <n v="0.33"/>
    <n v="773.11"/>
  </r>
  <r>
    <s v="ORD-1020"/>
    <x v="20"/>
    <x v="20"/>
    <x v="2"/>
    <s v="CUST-9022"/>
    <s v="Customer 358"/>
    <x v="1"/>
    <s v="United States"/>
    <s v="Denver"/>
    <x v="3"/>
    <n v="23068"/>
    <x v="1"/>
    <s v="PROD-8360"/>
    <x v="2"/>
    <x v="5"/>
    <x v="20"/>
    <x v="20"/>
    <n v="6"/>
    <n v="0.42"/>
    <n v="766.98"/>
  </r>
  <r>
    <s v="ORD-1021"/>
    <x v="21"/>
    <x v="21"/>
    <x v="3"/>
    <s v="CUST-2994"/>
    <s v="Customer 323"/>
    <x v="2"/>
    <s v="United States"/>
    <s v="Miami"/>
    <x v="7"/>
    <n v="68477"/>
    <x v="3"/>
    <s v="PROD-3705"/>
    <x v="2"/>
    <x v="6"/>
    <x v="21"/>
    <x v="21"/>
    <n v="13"/>
    <n v="0.75"/>
    <n v="2092.2800000000002"/>
  </r>
  <r>
    <s v="ORD-1022"/>
    <x v="22"/>
    <x v="22"/>
    <x v="2"/>
    <s v="CUST-9215"/>
    <s v="Customer 247"/>
    <x v="2"/>
    <s v="United States"/>
    <s v="Houston"/>
    <x v="6"/>
    <n v="93391"/>
    <x v="0"/>
    <s v="PROD-5654"/>
    <x v="0"/>
    <x v="9"/>
    <x v="22"/>
    <x v="22"/>
    <n v="2"/>
    <n v="0.35"/>
    <n v="546.97"/>
  </r>
  <r>
    <s v="ORD-1023"/>
    <x v="23"/>
    <x v="23"/>
    <x v="0"/>
    <s v="CUST-5991"/>
    <s v="Customer 272"/>
    <x v="1"/>
    <s v="United States"/>
    <s v="Seattle"/>
    <x v="1"/>
    <n v="86334"/>
    <x v="0"/>
    <s v="PROD-6195"/>
    <x v="1"/>
    <x v="4"/>
    <x v="23"/>
    <x v="23"/>
    <n v="1"/>
    <n v="0.76"/>
    <n v="669.35"/>
  </r>
  <r>
    <s v="ORD-1024"/>
    <x v="24"/>
    <x v="24"/>
    <x v="0"/>
    <s v="CUST-6077"/>
    <s v="Customer 198"/>
    <x v="1"/>
    <s v="United States"/>
    <s v="Seattle"/>
    <x v="4"/>
    <n v="64616"/>
    <x v="2"/>
    <s v="PROD-1388"/>
    <x v="0"/>
    <x v="9"/>
    <x v="24"/>
    <x v="24"/>
    <n v="4"/>
    <n v="0.65"/>
    <n v="2185.2199999999998"/>
  </r>
  <r>
    <s v="ORD-1025"/>
    <x v="25"/>
    <x v="25"/>
    <x v="0"/>
    <s v="CUST-6587"/>
    <s v="Customer 306"/>
    <x v="0"/>
    <s v="United States"/>
    <s v="New York"/>
    <x v="3"/>
    <n v="30170"/>
    <x v="2"/>
    <s v="PROD-5434"/>
    <x v="1"/>
    <x v="3"/>
    <x v="25"/>
    <x v="25"/>
    <n v="4"/>
    <n v="0.62"/>
    <n v="520.75"/>
  </r>
  <r>
    <s v="ORD-1026"/>
    <x v="26"/>
    <x v="26"/>
    <x v="1"/>
    <s v="CUST-2970"/>
    <s v="Customer 286"/>
    <x v="0"/>
    <s v="United States"/>
    <s v="Miami"/>
    <x v="3"/>
    <n v="20272"/>
    <x v="2"/>
    <s v="PROD-2668"/>
    <x v="0"/>
    <x v="1"/>
    <x v="26"/>
    <x v="26"/>
    <n v="10"/>
    <n v="0.75"/>
    <n v="162.41999999999999"/>
  </r>
  <r>
    <s v="ORD-1027"/>
    <x v="27"/>
    <x v="27"/>
    <x v="2"/>
    <s v="CUST-2537"/>
    <s v="Customer 303"/>
    <x v="2"/>
    <s v="United States"/>
    <s v="Los Angeles"/>
    <x v="3"/>
    <n v="69876"/>
    <x v="2"/>
    <s v="PROD-3500"/>
    <x v="2"/>
    <x v="6"/>
    <x v="27"/>
    <x v="27"/>
    <n v="9"/>
    <n v="0.13"/>
    <n v="361.21"/>
  </r>
  <r>
    <s v="ORD-1028"/>
    <x v="28"/>
    <x v="28"/>
    <x v="0"/>
    <s v="CUST-9424"/>
    <s v="Customer 389"/>
    <x v="2"/>
    <s v="United States"/>
    <s v="Dallas"/>
    <x v="1"/>
    <n v="45471"/>
    <x v="2"/>
    <s v="PROD-8189"/>
    <x v="2"/>
    <x v="6"/>
    <x v="28"/>
    <x v="28"/>
    <n v="10"/>
    <n v="0.04"/>
    <n v="715.18"/>
  </r>
  <r>
    <s v="ORD-1029"/>
    <x v="29"/>
    <x v="29"/>
    <x v="2"/>
    <s v="CUST-9474"/>
    <s v="Customer 249"/>
    <x v="0"/>
    <s v="United States"/>
    <s v="Seattle"/>
    <x v="7"/>
    <n v="14688"/>
    <x v="2"/>
    <s v="PROD-6457"/>
    <x v="1"/>
    <x v="2"/>
    <x v="29"/>
    <x v="29"/>
    <n v="10"/>
    <n v="0.14000000000000001"/>
    <n v="1457.64"/>
  </r>
  <r>
    <s v="ORD-1030"/>
    <x v="30"/>
    <x v="30"/>
    <x v="0"/>
    <s v="CUST-8450"/>
    <s v="Customer 447"/>
    <x v="0"/>
    <s v="United States"/>
    <s v="Los Angeles"/>
    <x v="2"/>
    <n v="25354"/>
    <x v="2"/>
    <s v="PROD-5525"/>
    <x v="2"/>
    <x v="11"/>
    <x v="30"/>
    <x v="30"/>
    <n v="9"/>
    <n v="0.25"/>
    <n v="0.22"/>
  </r>
  <r>
    <s v="ORD-1031"/>
    <x v="31"/>
    <x v="31"/>
    <x v="3"/>
    <s v="CUST-8912"/>
    <s v="Customer 152"/>
    <x v="1"/>
    <s v="United States"/>
    <s v="Chicago"/>
    <x v="1"/>
    <n v="66837"/>
    <x v="2"/>
    <s v="PROD-6201"/>
    <x v="0"/>
    <x v="8"/>
    <x v="31"/>
    <x v="31"/>
    <n v="2"/>
    <n v="0.04"/>
    <n v="1373.4"/>
  </r>
  <r>
    <s v="ORD-1032"/>
    <x v="32"/>
    <x v="32"/>
    <x v="2"/>
    <s v="CUST-1927"/>
    <s v="Customer 154"/>
    <x v="1"/>
    <s v="United States"/>
    <s v="Seattle"/>
    <x v="0"/>
    <n v="99898"/>
    <x v="1"/>
    <s v="PROD-6177"/>
    <x v="0"/>
    <x v="8"/>
    <x v="32"/>
    <x v="32"/>
    <n v="9"/>
    <n v="0.83"/>
    <n v="1224.5899999999999"/>
  </r>
  <r>
    <s v="ORD-1033"/>
    <x v="33"/>
    <x v="33"/>
    <x v="2"/>
    <s v="CUST-8903"/>
    <s v="Customer 38"/>
    <x v="0"/>
    <s v="United States"/>
    <s v="Houston"/>
    <x v="6"/>
    <n v="13096"/>
    <x v="0"/>
    <s v="PROD-2274"/>
    <x v="2"/>
    <x v="5"/>
    <x v="19"/>
    <x v="33"/>
    <n v="13"/>
    <n v="0.5"/>
    <n v="89.96"/>
  </r>
  <r>
    <s v="ORD-1034"/>
    <x v="34"/>
    <x v="34"/>
    <x v="2"/>
    <s v="CUST-2466"/>
    <s v="Customer 366"/>
    <x v="1"/>
    <s v="United States"/>
    <s v="Denver"/>
    <x v="0"/>
    <n v="97351"/>
    <x v="0"/>
    <s v="PROD-2996"/>
    <x v="2"/>
    <x v="11"/>
    <x v="33"/>
    <x v="34"/>
    <n v="2"/>
    <n v="0.13"/>
    <n v="-878.14"/>
  </r>
  <r>
    <s v="ORD-1035"/>
    <x v="35"/>
    <x v="35"/>
    <x v="3"/>
    <s v="CUST-1245"/>
    <s v="Customer 166"/>
    <x v="0"/>
    <s v="United States"/>
    <s v="Chicago"/>
    <x v="4"/>
    <n v="75388"/>
    <x v="1"/>
    <s v="PROD-3559"/>
    <x v="1"/>
    <x v="10"/>
    <x v="34"/>
    <x v="35"/>
    <n v="8"/>
    <n v="0.69"/>
    <n v="178.88"/>
  </r>
  <r>
    <s v="ORD-1036"/>
    <x v="36"/>
    <x v="36"/>
    <x v="1"/>
    <s v="CUST-5356"/>
    <s v="Customer 482"/>
    <x v="2"/>
    <s v="United States"/>
    <s v="Dallas"/>
    <x v="3"/>
    <n v="14258"/>
    <x v="1"/>
    <s v="PROD-1023"/>
    <x v="0"/>
    <x v="9"/>
    <x v="35"/>
    <x v="36"/>
    <n v="1"/>
    <n v="0.78"/>
    <n v="274.49"/>
  </r>
  <r>
    <s v="ORD-1037"/>
    <x v="37"/>
    <x v="37"/>
    <x v="3"/>
    <s v="CUST-2511"/>
    <s v="Customer 134"/>
    <x v="2"/>
    <s v="United States"/>
    <s v="Denver"/>
    <x v="8"/>
    <n v="89755"/>
    <x v="2"/>
    <s v="PROD-2242"/>
    <x v="0"/>
    <x v="8"/>
    <x v="36"/>
    <x v="37"/>
    <n v="8"/>
    <n v="0.81"/>
    <n v="214.48"/>
  </r>
  <r>
    <s v="ORD-1038"/>
    <x v="38"/>
    <x v="38"/>
    <x v="2"/>
    <s v="CUST-5921"/>
    <s v="Customer 481"/>
    <x v="2"/>
    <s v="United States"/>
    <s v="Phoenix"/>
    <x v="0"/>
    <n v="21513"/>
    <x v="0"/>
    <s v="PROD-6967"/>
    <x v="2"/>
    <x v="5"/>
    <x v="37"/>
    <x v="38"/>
    <n v="6"/>
    <n v="0.09"/>
    <n v="2030.96"/>
  </r>
  <r>
    <s v="ORD-1039"/>
    <x v="39"/>
    <x v="39"/>
    <x v="1"/>
    <s v="CUST-1640"/>
    <s v="Customer 25"/>
    <x v="1"/>
    <s v="United States"/>
    <s v="Seattle"/>
    <x v="2"/>
    <n v="71268"/>
    <x v="3"/>
    <s v="PROD-3724"/>
    <x v="2"/>
    <x v="11"/>
    <x v="38"/>
    <x v="39"/>
    <n v="13"/>
    <n v="0.09"/>
    <n v="529.52"/>
  </r>
  <r>
    <s v="ORD-1040"/>
    <x v="40"/>
    <x v="40"/>
    <x v="2"/>
    <s v="CUST-1349"/>
    <s v="Customer 261"/>
    <x v="1"/>
    <s v="United States"/>
    <s v="Seattle"/>
    <x v="3"/>
    <n v="88662"/>
    <x v="3"/>
    <s v="PROD-8961"/>
    <x v="1"/>
    <x v="4"/>
    <x v="39"/>
    <x v="40"/>
    <n v="8"/>
    <n v="0.69"/>
    <n v="586.73"/>
  </r>
  <r>
    <s v="ORD-1041"/>
    <x v="41"/>
    <x v="41"/>
    <x v="1"/>
    <s v="CUST-2318"/>
    <s v="Customer 232"/>
    <x v="1"/>
    <s v="United States"/>
    <s v="Denver"/>
    <x v="8"/>
    <n v="79566"/>
    <x v="1"/>
    <s v="PROD-9468"/>
    <x v="1"/>
    <x v="10"/>
    <x v="28"/>
    <x v="41"/>
    <n v="9"/>
    <n v="0.16"/>
    <n v="1721.77"/>
  </r>
  <r>
    <s v="ORD-1042"/>
    <x v="42"/>
    <x v="42"/>
    <x v="2"/>
    <s v="CUST-2254"/>
    <s v="Customer 358"/>
    <x v="0"/>
    <s v="United States"/>
    <s v="Miami"/>
    <x v="6"/>
    <n v="95136"/>
    <x v="2"/>
    <s v="PROD-8268"/>
    <x v="2"/>
    <x v="5"/>
    <x v="40"/>
    <x v="42"/>
    <n v="14"/>
    <n v="0.5"/>
    <n v="45.95"/>
  </r>
  <r>
    <s v="ORD-1043"/>
    <x v="43"/>
    <x v="43"/>
    <x v="1"/>
    <s v="CUST-2528"/>
    <s v="Customer 165"/>
    <x v="0"/>
    <s v="United States"/>
    <s v="New York"/>
    <x v="0"/>
    <n v="67480"/>
    <x v="0"/>
    <s v="PROD-8568"/>
    <x v="1"/>
    <x v="2"/>
    <x v="41"/>
    <x v="43"/>
    <n v="12"/>
    <n v="0.24"/>
    <n v="648.04"/>
  </r>
  <r>
    <s v="ORD-1044"/>
    <x v="44"/>
    <x v="44"/>
    <x v="1"/>
    <s v="CUST-1282"/>
    <s v="Customer 410"/>
    <x v="0"/>
    <s v="United States"/>
    <s v="Dallas"/>
    <x v="7"/>
    <n v="52531"/>
    <x v="2"/>
    <s v="PROD-4586"/>
    <x v="2"/>
    <x v="5"/>
    <x v="42"/>
    <x v="44"/>
    <n v="10"/>
    <n v="0.45"/>
    <n v="-595.79999999999995"/>
  </r>
  <r>
    <s v="ORD-1045"/>
    <x v="45"/>
    <x v="45"/>
    <x v="0"/>
    <s v="CUST-5979"/>
    <s v="Customer 98"/>
    <x v="1"/>
    <s v="United States"/>
    <s v="Seattle"/>
    <x v="3"/>
    <n v="60069"/>
    <x v="2"/>
    <s v="PROD-2511"/>
    <x v="2"/>
    <x v="5"/>
    <x v="43"/>
    <x v="45"/>
    <n v="7"/>
    <n v="0.37"/>
    <n v="-98.19"/>
  </r>
  <r>
    <s v="ORD-1046"/>
    <x v="46"/>
    <x v="46"/>
    <x v="3"/>
    <s v="CUST-3986"/>
    <s v="Customer 27"/>
    <x v="0"/>
    <s v="United States"/>
    <s v="Los Angeles"/>
    <x v="3"/>
    <n v="13451"/>
    <x v="0"/>
    <s v="PROD-7988"/>
    <x v="2"/>
    <x v="11"/>
    <x v="44"/>
    <x v="46"/>
    <n v="7"/>
    <n v="0.84"/>
    <n v="-245.06"/>
  </r>
  <r>
    <s v="ORD-1047"/>
    <x v="47"/>
    <x v="47"/>
    <x v="1"/>
    <s v="CUST-9514"/>
    <s v="Customer 23"/>
    <x v="2"/>
    <s v="United States"/>
    <s v="Houston"/>
    <x v="0"/>
    <n v="10239"/>
    <x v="1"/>
    <s v="PROD-9956"/>
    <x v="0"/>
    <x v="1"/>
    <x v="42"/>
    <x v="47"/>
    <n v="1"/>
    <n v="0.7"/>
    <n v="217.51"/>
  </r>
  <r>
    <s v="ORD-1048"/>
    <x v="48"/>
    <x v="48"/>
    <x v="1"/>
    <s v="CUST-2455"/>
    <s v="Customer 433"/>
    <x v="0"/>
    <s v="United States"/>
    <s v="Dallas"/>
    <x v="1"/>
    <n v="91644"/>
    <x v="2"/>
    <s v="PROD-9330"/>
    <x v="1"/>
    <x v="2"/>
    <x v="45"/>
    <x v="48"/>
    <n v="11"/>
    <n v="0.75"/>
    <n v="2259.7399999999998"/>
  </r>
  <r>
    <s v="ORD-1049"/>
    <x v="49"/>
    <x v="49"/>
    <x v="2"/>
    <s v="CUST-7504"/>
    <s v="Customer 381"/>
    <x v="1"/>
    <s v="United States"/>
    <s v="Phoenix"/>
    <x v="1"/>
    <n v="69004"/>
    <x v="1"/>
    <s v="PROD-4652"/>
    <x v="0"/>
    <x v="9"/>
    <x v="46"/>
    <x v="49"/>
    <n v="6"/>
    <n v="0.28000000000000003"/>
    <n v="89.08"/>
  </r>
  <r>
    <s v="ORD-1050"/>
    <x v="50"/>
    <x v="50"/>
    <x v="1"/>
    <s v="CUST-6286"/>
    <s v="Customer 210"/>
    <x v="1"/>
    <s v="United States"/>
    <s v="Phoenix"/>
    <x v="0"/>
    <n v="62111"/>
    <x v="2"/>
    <s v="PROD-5460"/>
    <x v="1"/>
    <x v="4"/>
    <x v="47"/>
    <x v="50"/>
    <n v="13"/>
    <n v="0.12"/>
    <n v="193.75"/>
  </r>
  <r>
    <s v="ORD-1051"/>
    <x v="51"/>
    <x v="51"/>
    <x v="1"/>
    <s v="CUST-1268"/>
    <s v="Customer 285"/>
    <x v="0"/>
    <s v="United States"/>
    <s v="Dallas"/>
    <x v="7"/>
    <n v="11753"/>
    <x v="3"/>
    <s v="PROD-3757"/>
    <x v="0"/>
    <x v="9"/>
    <x v="48"/>
    <x v="51"/>
    <n v="1"/>
    <n v="7.0000000000000007E-2"/>
    <n v="831.96"/>
  </r>
  <r>
    <s v="ORD-1052"/>
    <x v="52"/>
    <x v="52"/>
    <x v="1"/>
    <s v="CUST-2870"/>
    <s v="Customer 345"/>
    <x v="0"/>
    <s v="United States"/>
    <s v="New York"/>
    <x v="7"/>
    <n v="98082"/>
    <x v="0"/>
    <s v="PROD-2509"/>
    <x v="2"/>
    <x v="11"/>
    <x v="9"/>
    <x v="52"/>
    <n v="5"/>
    <n v="0.72"/>
    <n v="-61.46"/>
  </r>
  <r>
    <s v="ORD-1053"/>
    <x v="53"/>
    <x v="53"/>
    <x v="0"/>
    <s v="CUST-3083"/>
    <s v="Customer 89"/>
    <x v="1"/>
    <s v="United States"/>
    <s v="Denver"/>
    <x v="3"/>
    <n v="75518"/>
    <x v="3"/>
    <s v="PROD-8274"/>
    <x v="2"/>
    <x v="6"/>
    <x v="49"/>
    <x v="53"/>
    <n v="7"/>
    <n v="0.78"/>
    <n v="195.55"/>
  </r>
  <r>
    <s v="ORD-1054"/>
    <x v="54"/>
    <x v="54"/>
    <x v="3"/>
    <s v="CUST-1236"/>
    <s v="Customer 59"/>
    <x v="0"/>
    <s v="United States"/>
    <s v="Phoenix"/>
    <x v="3"/>
    <n v="78721"/>
    <x v="0"/>
    <s v="PROD-3286"/>
    <x v="2"/>
    <x v="5"/>
    <x v="50"/>
    <x v="54"/>
    <n v="11"/>
    <n v="0.54"/>
    <n v="-142.5"/>
  </r>
  <r>
    <s v="ORD-1055"/>
    <x v="55"/>
    <x v="55"/>
    <x v="1"/>
    <s v="CUST-7711"/>
    <s v="Customer 328"/>
    <x v="0"/>
    <s v="United States"/>
    <s v="Dallas"/>
    <x v="3"/>
    <n v="26543"/>
    <x v="0"/>
    <s v="PROD-4580"/>
    <x v="2"/>
    <x v="7"/>
    <x v="33"/>
    <x v="55"/>
    <n v="10"/>
    <n v="0.37"/>
    <n v="695.53"/>
  </r>
  <r>
    <s v="ORD-1056"/>
    <x v="56"/>
    <x v="56"/>
    <x v="2"/>
    <s v="CUST-9249"/>
    <s v="Customer 160"/>
    <x v="1"/>
    <s v="United States"/>
    <s v="Miami"/>
    <x v="3"/>
    <n v="22720"/>
    <x v="2"/>
    <s v="PROD-8474"/>
    <x v="0"/>
    <x v="8"/>
    <x v="7"/>
    <x v="56"/>
    <n v="14"/>
    <n v="0.4"/>
    <n v="1108.43"/>
  </r>
  <r>
    <s v="ORD-1057"/>
    <x v="57"/>
    <x v="57"/>
    <x v="0"/>
    <s v="CUST-4562"/>
    <s v="Customer 240"/>
    <x v="0"/>
    <s v="United States"/>
    <s v="Chicago"/>
    <x v="4"/>
    <n v="30947"/>
    <x v="1"/>
    <s v="PROD-9927"/>
    <x v="1"/>
    <x v="3"/>
    <x v="51"/>
    <x v="57"/>
    <n v="8"/>
    <n v="0.8"/>
    <n v="1646.26"/>
  </r>
  <r>
    <s v="ORD-1058"/>
    <x v="58"/>
    <x v="58"/>
    <x v="3"/>
    <s v="CUST-2169"/>
    <s v="Customer 414"/>
    <x v="2"/>
    <s v="United States"/>
    <s v="Phoenix"/>
    <x v="4"/>
    <n v="11627"/>
    <x v="0"/>
    <s v="PROD-2131"/>
    <x v="1"/>
    <x v="10"/>
    <x v="52"/>
    <x v="58"/>
    <n v="9"/>
    <n v="0.35"/>
    <n v="1764.35"/>
  </r>
  <r>
    <s v="ORD-1059"/>
    <x v="59"/>
    <x v="59"/>
    <x v="2"/>
    <s v="CUST-5832"/>
    <s v="Customer 318"/>
    <x v="0"/>
    <s v="United States"/>
    <s v="Dallas"/>
    <x v="3"/>
    <n v="74088"/>
    <x v="3"/>
    <s v="PROD-3505"/>
    <x v="1"/>
    <x v="2"/>
    <x v="53"/>
    <x v="59"/>
    <n v="3"/>
    <n v="0.57999999999999996"/>
    <n v="-128.28"/>
  </r>
  <r>
    <s v="ORD-1060"/>
    <x v="60"/>
    <x v="60"/>
    <x v="2"/>
    <s v="CUST-8202"/>
    <s v="Customer 266"/>
    <x v="2"/>
    <s v="United States"/>
    <s v="Chicago"/>
    <x v="1"/>
    <n v="69162"/>
    <x v="1"/>
    <s v="PROD-4280"/>
    <x v="1"/>
    <x v="10"/>
    <x v="54"/>
    <x v="60"/>
    <n v="10"/>
    <n v="0.4"/>
    <n v="117.99"/>
  </r>
  <r>
    <s v="ORD-1061"/>
    <x v="61"/>
    <x v="61"/>
    <x v="3"/>
    <s v="CUST-7760"/>
    <s v="Customer 243"/>
    <x v="0"/>
    <s v="United States"/>
    <s v="Phoenix"/>
    <x v="4"/>
    <n v="32319"/>
    <x v="1"/>
    <s v="PROD-1912"/>
    <x v="2"/>
    <x v="5"/>
    <x v="55"/>
    <x v="61"/>
    <n v="11"/>
    <n v="0.54"/>
    <n v="710.94"/>
  </r>
  <r>
    <s v="ORD-1062"/>
    <x v="62"/>
    <x v="62"/>
    <x v="2"/>
    <s v="CUST-3864"/>
    <s v="Customer 215"/>
    <x v="1"/>
    <s v="United States"/>
    <s v="New York"/>
    <x v="8"/>
    <n v="84423"/>
    <x v="0"/>
    <s v="PROD-9307"/>
    <x v="0"/>
    <x v="1"/>
    <x v="56"/>
    <x v="62"/>
    <n v="3"/>
    <n v="0.12"/>
    <n v="433.45"/>
  </r>
  <r>
    <s v="ORD-1063"/>
    <x v="63"/>
    <x v="63"/>
    <x v="0"/>
    <s v="CUST-9327"/>
    <s v="Customer 54"/>
    <x v="1"/>
    <s v="United States"/>
    <s v="Seattle"/>
    <x v="5"/>
    <n v="46384"/>
    <x v="1"/>
    <s v="PROD-2169"/>
    <x v="2"/>
    <x v="11"/>
    <x v="57"/>
    <x v="63"/>
    <n v="11"/>
    <n v="0.67"/>
    <n v="1340.55"/>
  </r>
  <r>
    <s v="ORD-1064"/>
    <x v="64"/>
    <x v="64"/>
    <x v="2"/>
    <s v="CUST-6675"/>
    <s v="Customer 491"/>
    <x v="2"/>
    <s v="United States"/>
    <s v="Miami"/>
    <x v="6"/>
    <n v="54022"/>
    <x v="1"/>
    <s v="PROD-6383"/>
    <x v="1"/>
    <x v="3"/>
    <x v="58"/>
    <x v="64"/>
    <n v="6"/>
    <n v="0.63"/>
    <n v="-243.54"/>
  </r>
  <r>
    <s v="ORD-1065"/>
    <x v="65"/>
    <x v="65"/>
    <x v="2"/>
    <s v="CUST-8442"/>
    <s v="Customer 229"/>
    <x v="0"/>
    <s v="United States"/>
    <s v="Denver"/>
    <x v="6"/>
    <n v="65122"/>
    <x v="1"/>
    <s v="PROD-2948"/>
    <x v="1"/>
    <x v="4"/>
    <x v="59"/>
    <x v="65"/>
    <n v="12"/>
    <n v="0.23"/>
    <n v="505.32"/>
  </r>
  <r>
    <s v="ORD-1066"/>
    <x v="66"/>
    <x v="66"/>
    <x v="2"/>
    <s v="CUST-9442"/>
    <s v="Customer 281"/>
    <x v="1"/>
    <s v="United States"/>
    <s v="Chicago"/>
    <x v="0"/>
    <n v="60008"/>
    <x v="0"/>
    <s v="PROD-1954"/>
    <x v="1"/>
    <x v="2"/>
    <x v="60"/>
    <x v="66"/>
    <n v="8"/>
    <n v="0.37"/>
    <n v="572.08000000000004"/>
  </r>
  <r>
    <s v="ORD-1067"/>
    <x v="67"/>
    <x v="67"/>
    <x v="2"/>
    <s v="CUST-3201"/>
    <s v="Customer 15"/>
    <x v="1"/>
    <s v="United States"/>
    <s v="Seattle"/>
    <x v="5"/>
    <n v="18993"/>
    <x v="3"/>
    <s v="PROD-9376"/>
    <x v="0"/>
    <x v="9"/>
    <x v="61"/>
    <x v="67"/>
    <n v="2"/>
    <n v="0.4"/>
    <n v="-88.79"/>
  </r>
  <r>
    <s v="ORD-1068"/>
    <x v="68"/>
    <x v="68"/>
    <x v="0"/>
    <s v="CUST-3659"/>
    <s v="Customer 98"/>
    <x v="2"/>
    <s v="United States"/>
    <s v="Miami"/>
    <x v="6"/>
    <n v="50703"/>
    <x v="1"/>
    <s v="PROD-7924"/>
    <x v="1"/>
    <x v="3"/>
    <x v="62"/>
    <x v="68"/>
    <n v="5"/>
    <n v="0.78"/>
    <n v="830.57"/>
  </r>
  <r>
    <s v="ORD-1069"/>
    <x v="69"/>
    <x v="69"/>
    <x v="1"/>
    <s v="CUST-7660"/>
    <s v="Customer 15"/>
    <x v="1"/>
    <s v="United States"/>
    <s v="Los Angeles"/>
    <x v="3"/>
    <n v="87755"/>
    <x v="3"/>
    <s v="PROD-9020"/>
    <x v="1"/>
    <x v="10"/>
    <x v="63"/>
    <x v="69"/>
    <n v="4"/>
    <n v="0.28999999999999998"/>
    <n v="1209.74"/>
  </r>
  <r>
    <s v="ORD-1070"/>
    <x v="70"/>
    <x v="70"/>
    <x v="3"/>
    <s v="CUST-9375"/>
    <s v="Customer 470"/>
    <x v="1"/>
    <s v="United States"/>
    <s v="Chicago"/>
    <x v="5"/>
    <n v="21771"/>
    <x v="2"/>
    <s v="PROD-7159"/>
    <x v="1"/>
    <x v="3"/>
    <x v="64"/>
    <x v="70"/>
    <n v="8"/>
    <n v="0.63"/>
    <n v="991.59"/>
  </r>
  <r>
    <s v="ORD-1071"/>
    <x v="71"/>
    <x v="71"/>
    <x v="2"/>
    <s v="CUST-5672"/>
    <s v="Customer 92"/>
    <x v="1"/>
    <s v="United States"/>
    <s v="Chicago"/>
    <x v="4"/>
    <n v="48392"/>
    <x v="1"/>
    <s v="PROD-9821"/>
    <x v="0"/>
    <x v="0"/>
    <x v="65"/>
    <x v="71"/>
    <n v="14"/>
    <n v="0.75"/>
    <n v="253.41"/>
  </r>
  <r>
    <s v="ORD-1072"/>
    <x v="72"/>
    <x v="72"/>
    <x v="2"/>
    <s v="CUST-1420"/>
    <s v="Customer 424"/>
    <x v="2"/>
    <s v="United States"/>
    <s v="Dallas"/>
    <x v="0"/>
    <n v="46296"/>
    <x v="0"/>
    <s v="PROD-1075"/>
    <x v="2"/>
    <x v="6"/>
    <x v="66"/>
    <x v="72"/>
    <n v="7"/>
    <n v="0.68"/>
    <n v="641.95000000000005"/>
  </r>
  <r>
    <s v="ORD-1073"/>
    <x v="73"/>
    <x v="73"/>
    <x v="0"/>
    <s v="CUST-7951"/>
    <s v="Customer 469"/>
    <x v="0"/>
    <s v="United States"/>
    <s v="New York"/>
    <x v="1"/>
    <n v="70125"/>
    <x v="3"/>
    <s v="PROD-1630"/>
    <x v="0"/>
    <x v="8"/>
    <x v="67"/>
    <x v="73"/>
    <n v="14"/>
    <n v="0.02"/>
    <n v="19.59"/>
  </r>
  <r>
    <s v="ORD-1074"/>
    <x v="74"/>
    <x v="74"/>
    <x v="2"/>
    <s v="CUST-4490"/>
    <s v="Customer 140"/>
    <x v="2"/>
    <s v="United States"/>
    <s v="Chicago"/>
    <x v="1"/>
    <n v="14106"/>
    <x v="0"/>
    <s v="PROD-7184"/>
    <x v="2"/>
    <x v="5"/>
    <x v="68"/>
    <x v="74"/>
    <n v="8"/>
    <n v="0.11"/>
    <n v="510.36"/>
  </r>
  <r>
    <s v="ORD-1075"/>
    <x v="75"/>
    <x v="75"/>
    <x v="1"/>
    <s v="CUST-6313"/>
    <s v="Customer 206"/>
    <x v="2"/>
    <s v="United States"/>
    <s v="Miami"/>
    <x v="8"/>
    <n v="32033"/>
    <x v="3"/>
    <s v="PROD-1662"/>
    <x v="0"/>
    <x v="0"/>
    <x v="69"/>
    <x v="75"/>
    <n v="1"/>
    <n v="0.85"/>
    <n v="98.85"/>
  </r>
  <r>
    <s v="ORD-1076"/>
    <x v="76"/>
    <x v="76"/>
    <x v="2"/>
    <s v="CUST-2424"/>
    <s v="Customer 412"/>
    <x v="0"/>
    <s v="United States"/>
    <s v="Houston"/>
    <x v="5"/>
    <n v="16141"/>
    <x v="3"/>
    <s v="PROD-6431"/>
    <x v="1"/>
    <x v="4"/>
    <x v="70"/>
    <x v="76"/>
    <n v="12"/>
    <n v="0.41"/>
    <n v="-783.71"/>
  </r>
  <r>
    <s v="ORD-1077"/>
    <x v="77"/>
    <x v="77"/>
    <x v="2"/>
    <s v="CUST-5692"/>
    <s v="Customer 4"/>
    <x v="0"/>
    <s v="United States"/>
    <s v="Dallas"/>
    <x v="7"/>
    <n v="10474"/>
    <x v="0"/>
    <s v="PROD-9302"/>
    <x v="2"/>
    <x v="5"/>
    <x v="71"/>
    <x v="77"/>
    <n v="7"/>
    <n v="0.47"/>
    <n v="949.74"/>
  </r>
  <r>
    <s v="ORD-1078"/>
    <x v="78"/>
    <x v="78"/>
    <x v="1"/>
    <s v="CUST-4590"/>
    <s v="Customer 245"/>
    <x v="1"/>
    <s v="United States"/>
    <s v="Dallas"/>
    <x v="3"/>
    <n v="90957"/>
    <x v="0"/>
    <s v="PROD-6042"/>
    <x v="1"/>
    <x v="4"/>
    <x v="72"/>
    <x v="78"/>
    <n v="1"/>
    <n v="0.78"/>
    <n v="17.93"/>
  </r>
  <r>
    <s v="ORD-1079"/>
    <x v="79"/>
    <x v="79"/>
    <x v="3"/>
    <s v="CUST-9351"/>
    <s v="Customer 440"/>
    <x v="0"/>
    <s v="United States"/>
    <s v="Los Angeles"/>
    <x v="4"/>
    <n v="85646"/>
    <x v="1"/>
    <s v="PROD-5264"/>
    <x v="1"/>
    <x v="4"/>
    <x v="73"/>
    <x v="79"/>
    <n v="6"/>
    <n v="0.7"/>
    <n v="-628.4"/>
  </r>
  <r>
    <s v="ORD-1080"/>
    <x v="80"/>
    <x v="80"/>
    <x v="0"/>
    <s v="CUST-9390"/>
    <s v="Customer 304"/>
    <x v="0"/>
    <s v="United States"/>
    <s v="Miami"/>
    <x v="4"/>
    <n v="95458"/>
    <x v="3"/>
    <s v="PROD-1851"/>
    <x v="0"/>
    <x v="1"/>
    <x v="74"/>
    <x v="80"/>
    <n v="8"/>
    <n v="0.39"/>
    <n v="596.67999999999995"/>
  </r>
  <r>
    <s v="ORD-1081"/>
    <x v="81"/>
    <x v="81"/>
    <x v="3"/>
    <s v="CUST-9460"/>
    <s v="Customer 292"/>
    <x v="2"/>
    <s v="United States"/>
    <s v="Chicago"/>
    <x v="7"/>
    <n v="59210"/>
    <x v="2"/>
    <s v="PROD-5420"/>
    <x v="1"/>
    <x v="2"/>
    <x v="75"/>
    <x v="81"/>
    <n v="8"/>
    <n v="0.38"/>
    <n v="-279.63"/>
  </r>
  <r>
    <s v="ORD-1082"/>
    <x v="82"/>
    <x v="82"/>
    <x v="2"/>
    <s v="CUST-9591"/>
    <s v="Customer 218"/>
    <x v="1"/>
    <s v="United States"/>
    <s v="Chicago"/>
    <x v="4"/>
    <n v="61385"/>
    <x v="0"/>
    <s v="PROD-9553"/>
    <x v="2"/>
    <x v="11"/>
    <x v="76"/>
    <x v="82"/>
    <n v="13"/>
    <n v="0.41"/>
    <n v="1111.76"/>
  </r>
  <r>
    <s v="ORD-1083"/>
    <x v="83"/>
    <x v="83"/>
    <x v="0"/>
    <s v="CUST-4553"/>
    <s v="Customer 319"/>
    <x v="2"/>
    <s v="United States"/>
    <s v="Houston"/>
    <x v="5"/>
    <n v="32794"/>
    <x v="2"/>
    <s v="PROD-2723"/>
    <x v="2"/>
    <x v="7"/>
    <x v="68"/>
    <x v="83"/>
    <n v="9"/>
    <n v="0.77"/>
    <n v="350.56"/>
  </r>
  <r>
    <s v="ORD-1084"/>
    <x v="84"/>
    <x v="84"/>
    <x v="0"/>
    <s v="CUST-5163"/>
    <s v="Customer 345"/>
    <x v="1"/>
    <s v="United States"/>
    <s v="Chicago"/>
    <x v="2"/>
    <n v="71959"/>
    <x v="2"/>
    <s v="PROD-4139"/>
    <x v="1"/>
    <x v="3"/>
    <x v="77"/>
    <x v="84"/>
    <n v="11"/>
    <n v="0.5"/>
    <n v="-452.73"/>
  </r>
  <r>
    <s v="ORD-1085"/>
    <x v="85"/>
    <x v="85"/>
    <x v="3"/>
    <s v="CUST-9898"/>
    <s v="Customer 399"/>
    <x v="1"/>
    <s v="United States"/>
    <s v="Phoenix"/>
    <x v="3"/>
    <n v="65225"/>
    <x v="2"/>
    <s v="PROD-7910"/>
    <x v="0"/>
    <x v="1"/>
    <x v="78"/>
    <x v="85"/>
    <n v="10"/>
    <n v="0.62"/>
    <n v="1078.7"/>
  </r>
  <r>
    <s v="ORD-1086"/>
    <x v="86"/>
    <x v="86"/>
    <x v="1"/>
    <s v="CUST-8510"/>
    <s v="Customer 473"/>
    <x v="1"/>
    <s v="United States"/>
    <s v="Houston"/>
    <x v="1"/>
    <n v="85467"/>
    <x v="1"/>
    <s v="PROD-9099"/>
    <x v="1"/>
    <x v="2"/>
    <x v="79"/>
    <x v="86"/>
    <n v="11"/>
    <n v="7.0000000000000007E-2"/>
    <n v="92.81"/>
  </r>
  <r>
    <s v="ORD-1087"/>
    <x v="87"/>
    <x v="87"/>
    <x v="3"/>
    <s v="CUST-9482"/>
    <s v="Customer 438"/>
    <x v="2"/>
    <s v="United States"/>
    <s v="Chicago"/>
    <x v="8"/>
    <n v="48956"/>
    <x v="1"/>
    <s v="PROD-6690"/>
    <x v="0"/>
    <x v="0"/>
    <x v="80"/>
    <x v="87"/>
    <n v="14"/>
    <n v="0.87"/>
    <n v="1.89"/>
  </r>
  <r>
    <s v="ORD-1088"/>
    <x v="88"/>
    <x v="88"/>
    <x v="1"/>
    <s v="CUST-6737"/>
    <s v="Customer 58"/>
    <x v="2"/>
    <s v="United States"/>
    <s v="Dallas"/>
    <x v="3"/>
    <n v="66808"/>
    <x v="1"/>
    <s v="PROD-6016"/>
    <x v="2"/>
    <x v="7"/>
    <x v="81"/>
    <x v="88"/>
    <n v="4"/>
    <n v="0.41"/>
    <n v="634.96"/>
  </r>
  <r>
    <s v="ORD-1089"/>
    <x v="89"/>
    <x v="89"/>
    <x v="1"/>
    <s v="CUST-1565"/>
    <s v="Customer 194"/>
    <x v="1"/>
    <s v="United States"/>
    <s v="Houston"/>
    <x v="3"/>
    <n v="34048"/>
    <x v="3"/>
    <s v="PROD-8019"/>
    <x v="0"/>
    <x v="0"/>
    <x v="82"/>
    <x v="89"/>
    <n v="11"/>
    <n v="0.32"/>
    <n v="-642.36"/>
  </r>
  <r>
    <s v="ORD-1090"/>
    <x v="90"/>
    <x v="90"/>
    <x v="2"/>
    <s v="CUST-4955"/>
    <s v="Customer 151"/>
    <x v="1"/>
    <s v="United States"/>
    <s v="Houston"/>
    <x v="8"/>
    <n v="58593"/>
    <x v="0"/>
    <s v="PROD-6486"/>
    <x v="2"/>
    <x v="7"/>
    <x v="83"/>
    <x v="90"/>
    <n v="14"/>
    <n v="0.21"/>
    <n v="679.72"/>
  </r>
  <r>
    <s v="ORD-1091"/>
    <x v="91"/>
    <x v="91"/>
    <x v="0"/>
    <s v="CUST-5791"/>
    <s v="Customer 406"/>
    <x v="0"/>
    <s v="United States"/>
    <s v="Los Angeles"/>
    <x v="6"/>
    <n v="95145"/>
    <x v="1"/>
    <s v="PROD-8537"/>
    <x v="1"/>
    <x v="4"/>
    <x v="84"/>
    <x v="91"/>
    <n v="7"/>
    <n v="0.22"/>
    <n v="966.73"/>
  </r>
  <r>
    <s v="ORD-1092"/>
    <x v="92"/>
    <x v="92"/>
    <x v="2"/>
    <s v="CUST-3382"/>
    <s v="Customer 376"/>
    <x v="2"/>
    <s v="United States"/>
    <s v="Miami"/>
    <x v="7"/>
    <n v="94487"/>
    <x v="1"/>
    <s v="PROD-4343"/>
    <x v="2"/>
    <x v="11"/>
    <x v="85"/>
    <x v="92"/>
    <n v="5"/>
    <n v="0.7"/>
    <n v="-174.17"/>
  </r>
  <r>
    <s v="ORD-1093"/>
    <x v="93"/>
    <x v="93"/>
    <x v="3"/>
    <s v="CUST-2227"/>
    <s v="Customer 154"/>
    <x v="1"/>
    <s v="United States"/>
    <s v="Miami"/>
    <x v="6"/>
    <n v="63661"/>
    <x v="3"/>
    <s v="PROD-6194"/>
    <x v="0"/>
    <x v="0"/>
    <x v="86"/>
    <x v="93"/>
    <n v="11"/>
    <n v="0.24"/>
    <n v="249.29"/>
  </r>
  <r>
    <s v="ORD-1094"/>
    <x v="94"/>
    <x v="94"/>
    <x v="2"/>
    <s v="CUST-2557"/>
    <s v="Customer 469"/>
    <x v="1"/>
    <s v="United States"/>
    <s v="Phoenix"/>
    <x v="3"/>
    <n v="67545"/>
    <x v="0"/>
    <s v="PROD-8293"/>
    <x v="2"/>
    <x v="6"/>
    <x v="87"/>
    <x v="94"/>
    <n v="5"/>
    <n v="0.16"/>
    <n v="-26.2"/>
  </r>
  <r>
    <s v="ORD-1095"/>
    <x v="95"/>
    <x v="95"/>
    <x v="3"/>
    <s v="CUST-9213"/>
    <s v="Customer 171"/>
    <x v="1"/>
    <s v="United States"/>
    <s v="Chicago"/>
    <x v="1"/>
    <n v="90917"/>
    <x v="2"/>
    <s v="PROD-5336"/>
    <x v="1"/>
    <x v="4"/>
    <x v="88"/>
    <x v="95"/>
    <n v="6"/>
    <n v="0.2"/>
    <n v="215.8"/>
  </r>
  <r>
    <s v="ORD-1096"/>
    <x v="96"/>
    <x v="96"/>
    <x v="1"/>
    <s v="CUST-4946"/>
    <s v="Customer 303"/>
    <x v="2"/>
    <s v="United States"/>
    <s v="Phoenix"/>
    <x v="5"/>
    <n v="14134"/>
    <x v="2"/>
    <s v="PROD-3190"/>
    <x v="1"/>
    <x v="10"/>
    <x v="34"/>
    <x v="96"/>
    <n v="13"/>
    <n v="0.85"/>
    <n v="405.37"/>
  </r>
  <r>
    <s v="ORD-1097"/>
    <x v="97"/>
    <x v="97"/>
    <x v="3"/>
    <s v="CUST-2401"/>
    <s v="Customer 463"/>
    <x v="0"/>
    <s v="United States"/>
    <s v="Houston"/>
    <x v="0"/>
    <n v="96440"/>
    <x v="0"/>
    <s v="PROD-4680"/>
    <x v="2"/>
    <x v="6"/>
    <x v="89"/>
    <x v="97"/>
    <n v="13"/>
    <n v="0.87"/>
    <n v="64.010000000000005"/>
  </r>
  <r>
    <s v="ORD-1098"/>
    <x v="98"/>
    <x v="98"/>
    <x v="2"/>
    <s v="CUST-9791"/>
    <s v="Customer 385"/>
    <x v="2"/>
    <s v="United States"/>
    <s v="Houston"/>
    <x v="6"/>
    <n v="78651"/>
    <x v="1"/>
    <s v="PROD-2838"/>
    <x v="2"/>
    <x v="5"/>
    <x v="18"/>
    <x v="98"/>
    <n v="8"/>
    <n v="0.08"/>
    <n v="-609.9"/>
  </r>
  <r>
    <s v="ORD-1099"/>
    <x v="99"/>
    <x v="99"/>
    <x v="0"/>
    <s v="CUST-6212"/>
    <s v="Customer 330"/>
    <x v="0"/>
    <s v="United States"/>
    <s v="Chicago"/>
    <x v="0"/>
    <n v="34759"/>
    <x v="3"/>
    <s v="PROD-3733"/>
    <x v="1"/>
    <x v="4"/>
    <x v="1"/>
    <x v="99"/>
    <n v="14"/>
    <n v="0.27"/>
    <n v="815.72"/>
  </r>
  <r>
    <s v="ORD-1100"/>
    <x v="100"/>
    <x v="100"/>
    <x v="0"/>
    <s v="CUST-8984"/>
    <s v="Customer 224"/>
    <x v="0"/>
    <s v="United States"/>
    <s v="Los Angeles"/>
    <x v="8"/>
    <n v="84036"/>
    <x v="1"/>
    <s v="PROD-6460"/>
    <x v="0"/>
    <x v="8"/>
    <x v="90"/>
    <x v="100"/>
    <n v="7"/>
    <n v="0.69"/>
    <n v="1907.7"/>
  </r>
  <r>
    <s v="ORD-1101"/>
    <x v="101"/>
    <x v="101"/>
    <x v="1"/>
    <s v="CUST-5874"/>
    <s v="Customer 96"/>
    <x v="2"/>
    <s v="United States"/>
    <s v="Phoenix"/>
    <x v="2"/>
    <n v="50437"/>
    <x v="2"/>
    <s v="PROD-1496"/>
    <x v="2"/>
    <x v="11"/>
    <x v="91"/>
    <x v="101"/>
    <n v="13"/>
    <n v="0.18"/>
    <n v="-893.02"/>
  </r>
  <r>
    <s v="ORD-1102"/>
    <x v="102"/>
    <x v="102"/>
    <x v="3"/>
    <s v="CUST-2535"/>
    <s v="Customer 182"/>
    <x v="2"/>
    <s v="United States"/>
    <s v="Houston"/>
    <x v="3"/>
    <n v="19645"/>
    <x v="2"/>
    <s v="PROD-1630"/>
    <x v="2"/>
    <x v="11"/>
    <x v="91"/>
    <x v="102"/>
    <n v="11"/>
    <n v="0.21"/>
    <n v="-139.19"/>
  </r>
  <r>
    <s v="ORD-1103"/>
    <x v="103"/>
    <x v="103"/>
    <x v="1"/>
    <s v="CUST-2155"/>
    <s v="Customer 153"/>
    <x v="2"/>
    <s v="United States"/>
    <s v="Miami"/>
    <x v="5"/>
    <n v="54556"/>
    <x v="2"/>
    <s v="PROD-1493"/>
    <x v="0"/>
    <x v="8"/>
    <x v="92"/>
    <x v="103"/>
    <n v="7"/>
    <n v="0.31"/>
    <n v="41.79"/>
  </r>
  <r>
    <s v="ORD-1104"/>
    <x v="104"/>
    <x v="104"/>
    <x v="3"/>
    <s v="CUST-7808"/>
    <s v="Customer 368"/>
    <x v="1"/>
    <s v="United States"/>
    <s v="Seattle"/>
    <x v="0"/>
    <n v="94368"/>
    <x v="1"/>
    <s v="PROD-4002"/>
    <x v="0"/>
    <x v="9"/>
    <x v="93"/>
    <x v="104"/>
    <n v="1"/>
    <n v="0.32"/>
    <n v="205.63"/>
  </r>
  <r>
    <s v="ORD-1105"/>
    <x v="105"/>
    <x v="105"/>
    <x v="3"/>
    <s v="CUST-7368"/>
    <s v="Customer 350"/>
    <x v="0"/>
    <s v="United States"/>
    <s v="Seattle"/>
    <x v="6"/>
    <n v="46408"/>
    <x v="0"/>
    <s v="PROD-2312"/>
    <x v="0"/>
    <x v="8"/>
    <x v="94"/>
    <x v="105"/>
    <n v="9"/>
    <n v="0"/>
    <n v="-602.16999999999996"/>
  </r>
  <r>
    <s v="ORD-1106"/>
    <x v="106"/>
    <x v="106"/>
    <x v="0"/>
    <s v="CUST-8376"/>
    <s v="Customer 451"/>
    <x v="1"/>
    <s v="United States"/>
    <s v="New York"/>
    <x v="3"/>
    <n v="95477"/>
    <x v="3"/>
    <s v="PROD-6465"/>
    <x v="2"/>
    <x v="6"/>
    <x v="95"/>
    <x v="106"/>
    <n v="4"/>
    <n v="0.74"/>
    <n v="666.84"/>
  </r>
  <r>
    <s v="ORD-1107"/>
    <x v="107"/>
    <x v="107"/>
    <x v="0"/>
    <s v="CUST-7545"/>
    <s v="Customer 469"/>
    <x v="2"/>
    <s v="United States"/>
    <s v="Miami"/>
    <x v="5"/>
    <n v="73831"/>
    <x v="3"/>
    <s v="PROD-4773"/>
    <x v="0"/>
    <x v="1"/>
    <x v="96"/>
    <x v="107"/>
    <n v="8"/>
    <n v="0.45"/>
    <n v="490.45"/>
  </r>
  <r>
    <s v="ORD-1108"/>
    <x v="108"/>
    <x v="108"/>
    <x v="1"/>
    <s v="CUST-4401"/>
    <s v="Customer 124"/>
    <x v="0"/>
    <s v="United States"/>
    <s v="Denver"/>
    <x v="6"/>
    <n v="50990"/>
    <x v="0"/>
    <s v="PROD-1083"/>
    <x v="1"/>
    <x v="3"/>
    <x v="97"/>
    <x v="108"/>
    <n v="13"/>
    <n v="0.18"/>
    <n v="130.02000000000001"/>
  </r>
  <r>
    <s v="ORD-1109"/>
    <x v="109"/>
    <x v="109"/>
    <x v="0"/>
    <s v="CUST-5453"/>
    <s v="Customer 69"/>
    <x v="0"/>
    <s v="United States"/>
    <s v="Seattle"/>
    <x v="5"/>
    <n v="94161"/>
    <x v="1"/>
    <s v="PROD-6481"/>
    <x v="1"/>
    <x v="3"/>
    <x v="98"/>
    <x v="109"/>
    <n v="7"/>
    <n v="0.28999999999999998"/>
    <n v="356.82"/>
  </r>
  <r>
    <s v="ORD-1110"/>
    <x v="110"/>
    <x v="110"/>
    <x v="0"/>
    <s v="CUST-5389"/>
    <s v="Customer 334"/>
    <x v="1"/>
    <s v="United States"/>
    <s v="Seattle"/>
    <x v="3"/>
    <n v="11570"/>
    <x v="0"/>
    <s v="PROD-4091"/>
    <x v="2"/>
    <x v="7"/>
    <x v="99"/>
    <x v="110"/>
    <n v="7"/>
    <n v="0.8"/>
    <n v="1108.4100000000001"/>
  </r>
  <r>
    <s v="ORD-1111"/>
    <x v="111"/>
    <x v="111"/>
    <x v="1"/>
    <s v="CUST-5437"/>
    <s v="Customer 26"/>
    <x v="1"/>
    <s v="United States"/>
    <s v="Denver"/>
    <x v="2"/>
    <n v="91454"/>
    <x v="3"/>
    <s v="PROD-4311"/>
    <x v="2"/>
    <x v="6"/>
    <x v="21"/>
    <x v="111"/>
    <n v="7"/>
    <n v="0.41"/>
    <n v="507.25"/>
  </r>
  <r>
    <s v="ORD-1112"/>
    <x v="112"/>
    <x v="112"/>
    <x v="3"/>
    <s v="CUST-8732"/>
    <s v="Customer 232"/>
    <x v="0"/>
    <s v="United States"/>
    <s v="Denver"/>
    <x v="7"/>
    <n v="91402"/>
    <x v="1"/>
    <s v="PROD-9375"/>
    <x v="2"/>
    <x v="6"/>
    <x v="100"/>
    <x v="112"/>
    <n v="1"/>
    <n v="0.65"/>
    <n v="-753.69"/>
  </r>
  <r>
    <s v="ORD-1113"/>
    <x v="113"/>
    <x v="113"/>
    <x v="1"/>
    <s v="CUST-5040"/>
    <s v="Customer 30"/>
    <x v="0"/>
    <s v="United States"/>
    <s v="Chicago"/>
    <x v="0"/>
    <n v="47876"/>
    <x v="0"/>
    <s v="PROD-3951"/>
    <x v="1"/>
    <x v="2"/>
    <x v="19"/>
    <x v="113"/>
    <n v="13"/>
    <n v="0.31"/>
    <n v="37.78"/>
  </r>
  <r>
    <s v="ORD-1114"/>
    <x v="114"/>
    <x v="114"/>
    <x v="2"/>
    <s v="CUST-8112"/>
    <s v="Customer 257"/>
    <x v="2"/>
    <s v="United States"/>
    <s v="Miami"/>
    <x v="5"/>
    <n v="60015"/>
    <x v="0"/>
    <s v="PROD-8482"/>
    <x v="0"/>
    <x v="1"/>
    <x v="101"/>
    <x v="114"/>
    <n v="11"/>
    <n v="0.41"/>
    <n v="-223.25"/>
  </r>
  <r>
    <s v="ORD-1115"/>
    <x v="115"/>
    <x v="115"/>
    <x v="1"/>
    <s v="CUST-3399"/>
    <s v="Customer 295"/>
    <x v="1"/>
    <s v="United States"/>
    <s v="Houston"/>
    <x v="0"/>
    <n v="76201"/>
    <x v="2"/>
    <s v="PROD-6284"/>
    <x v="1"/>
    <x v="2"/>
    <x v="102"/>
    <x v="115"/>
    <n v="6"/>
    <n v="0.24"/>
    <n v="243.34"/>
  </r>
  <r>
    <s v="ORD-1116"/>
    <x v="116"/>
    <x v="116"/>
    <x v="1"/>
    <s v="CUST-9901"/>
    <s v="Customer 404"/>
    <x v="1"/>
    <s v="United States"/>
    <s v="Dallas"/>
    <x v="7"/>
    <n v="50815"/>
    <x v="0"/>
    <s v="PROD-4666"/>
    <x v="1"/>
    <x v="10"/>
    <x v="103"/>
    <x v="116"/>
    <n v="6"/>
    <n v="0.62"/>
    <n v="-518.04"/>
  </r>
  <r>
    <s v="ORD-1117"/>
    <x v="117"/>
    <x v="117"/>
    <x v="3"/>
    <s v="CUST-8617"/>
    <s v="Customer 300"/>
    <x v="0"/>
    <s v="United States"/>
    <s v="Chicago"/>
    <x v="2"/>
    <n v="74052"/>
    <x v="0"/>
    <s v="PROD-9807"/>
    <x v="1"/>
    <x v="10"/>
    <x v="104"/>
    <x v="117"/>
    <n v="5"/>
    <n v="0.05"/>
    <n v="-150.24"/>
  </r>
  <r>
    <s v="ORD-1118"/>
    <x v="118"/>
    <x v="118"/>
    <x v="0"/>
    <s v="CUST-3906"/>
    <s v="Customer 403"/>
    <x v="1"/>
    <s v="United States"/>
    <s v="Dallas"/>
    <x v="6"/>
    <n v="44721"/>
    <x v="2"/>
    <s v="PROD-9285"/>
    <x v="2"/>
    <x v="6"/>
    <x v="105"/>
    <x v="118"/>
    <n v="6"/>
    <n v="0.74"/>
    <n v="-101.26"/>
  </r>
  <r>
    <s v="ORD-1119"/>
    <x v="119"/>
    <x v="119"/>
    <x v="3"/>
    <s v="CUST-7306"/>
    <s v="Customer 358"/>
    <x v="0"/>
    <s v="United States"/>
    <s v="Chicago"/>
    <x v="1"/>
    <n v="46167"/>
    <x v="0"/>
    <s v="PROD-3019"/>
    <x v="1"/>
    <x v="3"/>
    <x v="106"/>
    <x v="119"/>
    <n v="9"/>
    <n v="0.71"/>
    <n v="1362.53"/>
  </r>
  <r>
    <s v="ORD-1120"/>
    <x v="120"/>
    <x v="120"/>
    <x v="1"/>
    <s v="CUST-4782"/>
    <s v="Customer 79"/>
    <x v="2"/>
    <s v="United States"/>
    <s v="Houston"/>
    <x v="4"/>
    <n v="74621"/>
    <x v="0"/>
    <s v="PROD-2997"/>
    <x v="0"/>
    <x v="1"/>
    <x v="107"/>
    <x v="120"/>
    <n v="1"/>
    <n v="0.72"/>
    <n v="293.47000000000003"/>
  </r>
  <r>
    <s v="ORD-1121"/>
    <x v="121"/>
    <x v="121"/>
    <x v="0"/>
    <s v="CUST-5441"/>
    <s v="Customer 396"/>
    <x v="2"/>
    <s v="United States"/>
    <s v="Los Angeles"/>
    <x v="3"/>
    <n v="49503"/>
    <x v="1"/>
    <s v="PROD-7349"/>
    <x v="2"/>
    <x v="6"/>
    <x v="108"/>
    <x v="121"/>
    <n v="7"/>
    <n v="0.76"/>
    <n v="1213.43"/>
  </r>
  <r>
    <s v="ORD-1122"/>
    <x v="122"/>
    <x v="122"/>
    <x v="0"/>
    <s v="CUST-7498"/>
    <s v="Customer 309"/>
    <x v="0"/>
    <s v="United States"/>
    <s v="Denver"/>
    <x v="0"/>
    <n v="63557"/>
    <x v="2"/>
    <s v="PROD-2525"/>
    <x v="2"/>
    <x v="5"/>
    <x v="109"/>
    <x v="122"/>
    <n v="10"/>
    <n v="0.56999999999999995"/>
    <n v="313.18"/>
  </r>
  <r>
    <s v="ORD-1123"/>
    <x v="123"/>
    <x v="123"/>
    <x v="3"/>
    <s v="CUST-6209"/>
    <s v="Customer 135"/>
    <x v="1"/>
    <s v="United States"/>
    <s v="Los Angeles"/>
    <x v="2"/>
    <n v="14877"/>
    <x v="0"/>
    <s v="PROD-6124"/>
    <x v="2"/>
    <x v="7"/>
    <x v="110"/>
    <x v="123"/>
    <n v="13"/>
    <n v="0.59"/>
    <n v="1380.54"/>
  </r>
  <r>
    <s v="ORD-1124"/>
    <x v="124"/>
    <x v="124"/>
    <x v="3"/>
    <s v="CUST-3812"/>
    <s v="Customer 374"/>
    <x v="1"/>
    <s v="United States"/>
    <s v="Phoenix"/>
    <x v="0"/>
    <n v="90037"/>
    <x v="3"/>
    <s v="PROD-3476"/>
    <x v="1"/>
    <x v="10"/>
    <x v="111"/>
    <x v="124"/>
    <n v="8"/>
    <n v="0.53"/>
    <n v="97.16"/>
  </r>
  <r>
    <s v="ORD-1125"/>
    <x v="125"/>
    <x v="125"/>
    <x v="0"/>
    <s v="CUST-3287"/>
    <s v="Customer 213"/>
    <x v="1"/>
    <s v="United States"/>
    <s v="New York"/>
    <x v="8"/>
    <n v="85141"/>
    <x v="3"/>
    <s v="PROD-3155"/>
    <x v="2"/>
    <x v="11"/>
    <x v="112"/>
    <x v="125"/>
    <n v="13"/>
    <n v="0.19"/>
    <n v="-350.68"/>
  </r>
  <r>
    <s v="ORD-1126"/>
    <x v="126"/>
    <x v="126"/>
    <x v="1"/>
    <s v="CUST-4632"/>
    <s v="Customer 441"/>
    <x v="2"/>
    <s v="United States"/>
    <s v="New York"/>
    <x v="5"/>
    <n v="34728"/>
    <x v="3"/>
    <s v="PROD-8743"/>
    <x v="0"/>
    <x v="1"/>
    <x v="113"/>
    <x v="126"/>
    <n v="14"/>
    <n v="0.88"/>
    <n v="1149.2"/>
  </r>
  <r>
    <s v="ORD-1127"/>
    <x v="127"/>
    <x v="127"/>
    <x v="1"/>
    <s v="CUST-8775"/>
    <s v="Customer 375"/>
    <x v="2"/>
    <s v="United States"/>
    <s v="Miami"/>
    <x v="7"/>
    <n v="73896"/>
    <x v="0"/>
    <s v="PROD-3390"/>
    <x v="2"/>
    <x v="11"/>
    <x v="114"/>
    <x v="127"/>
    <n v="10"/>
    <n v="0.27"/>
    <n v="4.1900000000000004"/>
  </r>
  <r>
    <s v="ORD-1128"/>
    <x v="128"/>
    <x v="128"/>
    <x v="1"/>
    <s v="CUST-6170"/>
    <s v="Customer 85"/>
    <x v="0"/>
    <s v="United States"/>
    <s v="Dallas"/>
    <x v="2"/>
    <n v="63118"/>
    <x v="1"/>
    <s v="PROD-1592"/>
    <x v="2"/>
    <x v="11"/>
    <x v="115"/>
    <x v="128"/>
    <n v="3"/>
    <n v="0.3"/>
    <n v="1021"/>
  </r>
  <r>
    <s v="ORD-1129"/>
    <x v="129"/>
    <x v="129"/>
    <x v="3"/>
    <s v="CUST-5290"/>
    <s v="Customer 60"/>
    <x v="0"/>
    <s v="United States"/>
    <s v="Miami"/>
    <x v="7"/>
    <n v="44378"/>
    <x v="2"/>
    <s v="PROD-9485"/>
    <x v="1"/>
    <x v="2"/>
    <x v="116"/>
    <x v="129"/>
    <n v="7"/>
    <n v="0.64"/>
    <n v="-515.79999999999995"/>
  </r>
  <r>
    <s v="ORD-1130"/>
    <x v="130"/>
    <x v="130"/>
    <x v="1"/>
    <s v="CUST-7871"/>
    <s v="Customer 495"/>
    <x v="2"/>
    <s v="United States"/>
    <s v="Seattle"/>
    <x v="7"/>
    <n v="76814"/>
    <x v="1"/>
    <s v="PROD-7903"/>
    <x v="2"/>
    <x v="11"/>
    <x v="5"/>
    <x v="130"/>
    <n v="12"/>
    <n v="0.26"/>
    <n v="896.22"/>
  </r>
  <r>
    <s v="ORD-1131"/>
    <x v="131"/>
    <x v="131"/>
    <x v="3"/>
    <s v="CUST-7192"/>
    <s v="Customer 348"/>
    <x v="1"/>
    <s v="United States"/>
    <s v="Phoenix"/>
    <x v="3"/>
    <n v="70658"/>
    <x v="2"/>
    <s v="PROD-6873"/>
    <x v="2"/>
    <x v="11"/>
    <x v="101"/>
    <x v="131"/>
    <n v="3"/>
    <n v="0.25"/>
    <n v="1645.35"/>
  </r>
  <r>
    <s v="ORD-1132"/>
    <x v="132"/>
    <x v="132"/>
    <x v="2"/>
    <s v="CUST-8466"/>
    <s v="Customer 320"/>
    <x v="1"/>
    <s v="United States"/>
    <s v="Los Angeles"/>
    <x v="7"/>
    <n v="17699"/>
    <x v="1"/>
    <s v="PROD-4169"/>
    <x v="0"/>
    <x v="8"/>
    <x v="117"/>
    <x v="132"/>
    <n v="10"/>
    <n v="0.63"/>
    <n v="31.18"/>
  </r>
  <r>
    <s v="ORD-1133"/>
    <x v="133"/>
    <x v="133"/>
    <x v="0"/>
    <s v="CUST-7029"/>
    <s v="Customer 345"/>
    <x v="1"/>
    <s v="United States"/>
    <s v="Seattle"/>
    <x v="0"/>
    <n v="44669"/>
    <x v="0"/>
    <s v="PROD-7358"/>
    <x v="0"/>
    <x v="1"/>
    <x v="118"/>
    <x v="133"/>
    <n v="13"/>
    <n v="0.54"/>
    <n v="8.06"/>
  </r>
  <r>
    <s v="ORD-1134"/>
    <x v="134"/>
    <x v="134"/>
    <x v="1"/>
    <s v="CUST-5166"/>
    <s v="Customer 407"/>
    <x v="1"/>
    <s v="United States"/>
    <s v="Dallas"/>
    <x v="7"/>
    <n v="87932"/>
    <x v="3"/>
    <s v="PROD-9330"/>
    <x v="2"/>
    <x v="7"/>
    <x v="119"/>
    <x v="134"/>
    <n v="2"/>
    <n v="0.69"/>
    <n v="147.30000000000001"/>
  </r>
  <r>
    <s v="ORD-1135"/>
    <x v="135"/>
    <x v="135"/>
    <x v="0"/>
    <s v="CUST-2365"/>
    <s v="Customer 88"/>
    <x v="2"/>
    <s v="United States"/>
    <s v="Los Angeles"/>
    <x v="3"/>
    <n v="84174"/>
    <x v="1"/>
    <s v="PROD-6654"/>
    <x v="1"/>
    <x v="10"/>
    <x v="120"/>
    <x v="135"/>
    <n v="12"/>
    <n v="0.28000000000000003"/>
    <n v="944.75"/>
  </r>
  <r>
    <s v="ORD-1136"/>
    <x v="136"/>
    <x v="136"/>
    <x v="2"/>
    <s v="CUST-6449"/>
    <s v="Customer 263"/>
    <x v="2"/>
    <s v="United States"/>
    <s v="Dallas"/>
    <x v="8"/>
    <n v="85726"/>
    <x v="2"/>
    <s v="PROD-9968"/>
    <x v="1"/>
    <x v="2"/>
    <x v="112"/>
    <x v="136"/>
    <n v="12"/>
    <n v="7.0000000000000007E-2"/>
    <n v="78.95"/>
  </r>
  <r>
    <s v="ORD-1137"/>
    <x v="137"/>
    <x v="137"/>
    <x v="3"/>
    <s v="CUST-3501"/>
    <s v="Customer 489"/>
    <x v="2"/>
    <s v="United States"/>
    <s v="Houston"/>
    <x v="1"/>
    <n v="88334"/>
    <x v="3"/>
    <s v="PROD-8945"/>
    <x v="0"/>
    <x v="1"/>
    <x v="121"/>
    <x v="137"/>
    <n v="4"/>
    <n v="7.0000000000000007E-2"/>
    <n v="1750.07"/>
  </r>
  <r>
    <s v="ORD-1138"/>
    <x v="138"/>
    <x v="138"/>
    <x v="2"/>
    <s v="CUST-6453"/>
    <s v="Customer 439"/>
    <x v="2"/>
    <s v="United States"/>
    <s v="New York"/>
    <x v="8"/>
    <n v="17326"/>
    <x v="2"/>
    <s v="PROD-6596"/>
    <x v="0"/>
    <x v="0"/>
    <x v="122"/>
    <x v="138"/>
    <n v="14"/>
    <n v="0.67"/>
    <n v="386.96"/>
  </r>
  <r>
    <s v="ORD-1139"/>
    <x v="139"/>
    <x v="139"/>
    <x v="1"/>
    <s v="CUST-6317"/>
    <s v="Customer 367"/>
    <x v="1"/>
    <s v="United States"/>
    <s v="Denver"/>
    <x v="7"/>
    <n v="32383"/>
    <x v="3"/>
    <s v="PROD-3906"/>
    <x v="2"/>
    <x v="6"/>
    <x v="39"/>
    <x v="139"/>
    <n v="9"/>
    <n v="0.4"/>
    <n v="556.65"/>
  </r>
  <r>
    <s v="ORD-1140"/>
    <x v="140"/>
    <x v="140"/>
    <x v="3"/>
    <s v="CUST-6601"/>
    <s v="Customer 453"/>
    <x v="2"/>
    <s v="United States"/>
    <s v="Los Angeles"/>
    <x v="8"/>
    <n v="35592"/>
    <x v="3"/>
    <s v="PROD-5947"/>
    <x v="0"/>
    <x v="9"/>
    <x v="10"/>
    <x v="140"/>
    <n v="10"/>
    <n v="0.04"/>
    <n v="2112.88"/>
  </r>
  <r>
    <s v="ORD-1141"/>
    <x v="141"/>
    <x v="141"/>
    <x v="3"/>
    <s v="CUST-9937"/>
    <s v="Customer 304"/>
    <x v="1"/>
    <s v="United States"/>
    <s v="Miami"/>
    <x v="3"/>
    <n v="28584"/>
    <x v="3"/>
    <s v="PROD-1892"/>
    <x v="2"/>
    <x v="7"/>
    <x v="123"/>
    <x v="141"/>
    <n v="5"/>
    <n v="0.14000000000000001"/>
    <n v="-54.42"/>
  </r>
  <r>
    <s v="ORD-1142"/>
    <x v="142"/>
    <x v="142"/>
    <x v="3"/>
    <s v="CUST-9295"/>
    <s v="Customer 57"/>
    <x v="0"/>
    <s v="United States"/>
    <s v="Miami"/>
    <x v="6"/>
    <n v="81513"/>
    <x v="0"/>
    <s v="PROD-2866"/>
    <x v="2"/>
    <x v="11"/>
    <x v="124"/>
    <x v="142"/>
    <n v="7"/>
    <n v="0.73"/>
    <n v="20.29"/>
  </r>
  <r>
    <s v="ORD-1143"/>
    <x v="143"/>
    <x v="143"/>
    <x v="2"/>
    <s v="CUST-1239"/>
    <s v="Customer 219"/>
    <x v="0"/>
    <s v="United States"/>
    <s v="Los Angeles"/>
    <x v="1"/>
    <n v="32684"/>
    <x v="3"/>
    <s v="PROD-1206"/>
    <x v="2"/>
    <x v="6"/>
    <x v="125"/>
    <x v="143"/>
    <n v="3"/>
    <n v="0.54"/>
    <n v="50.47"/>
  </r>
  <r>
    <s v="ORD-1144"/>
    <x v="144"/>
    <x v="144"/>
    <x v="1"/>
    <s v="CUST-3766"/>
    <s v="Customer 317"/>
    <x v="0"/>
    <s v="United States"/>
    <s v="New York"/>
    <x v="5"/>
    <n v="59239"/>
    <x v="3"/>
    <s v="PROD-4626"/>
    <x v="1"/>
    <x v="10"/>
    <x v="74"/>
    <x v="144"/>
    <n v="13"/>
    <n v="0.85"/>
    <n v="319.26"/>
  </r>
  <r>
    <s v="ORD-1145"/>
    <x v="145"/>
    <x v="145"/>
    <x v="3"/>
    <s v="CUST-7550"/>
    <s v="Customer 272"/>
    <x v="2"/>
    <s v="United States"/>
    <s v="Denver"/>
    <x v="7"/>
    <n v="65391"/>
    <x v="1"/>
    <s v="PROD-7183"/>
    <x v="1"/>
    <x v="10"/>
    <x v="126"/>
    <x v="145"/>
    <n v="7"/>
    <n v="0.28999999999999998"/>
    <n v="387.03"/>
  </r>
  <r>
    <s v="ORD-1146"/>
    <x v="146"/>
    <x v="146"/>
    <x v="1"/>
    <s v="CUST-2004"/>
    <s v="Customer 53"/>
    <x v="1"/>
    <s v="United States"/>
    <s v="Miami"/>
    <x v="1"/>
    <n v="76247"/>
    <x v="1"/>
    <s v="PROD-3365"/>
    <x v="0"/>
    <x v="1"/>
    <x v="27"/>
    <x v="146"/>
    <n v="8"/>
    <n v="0.72"/>
    <n v="568.45000000000005"/>
  </r>
  <r>
    <s v="ORD-1147"/>
    <x v="147"/>
    <x v="147"/>
    <x v="2"/>
    <s v="CUST-5280"/>
    <s v="Customer 331"/>
    <x v="0"/>
    <s v="United States"/>
    <s v="New York"/>
    <x v="5"/>
    <n v="23603"/>
    <x v="3"/>
    <s v="PROD-5089"/>
    <x v="2"/>
    <x v="6"/>
    <x v="127"/>
    <x v="147"/>
    <n v="3"/>
    <n v="0.05"/>
    <n v="96.12"/>
  </r>
  <r>
    <s v="ORD-1148"/>
    <x v="148"/>
    <x v="148"/>
    <x v="1"/>
    <s v="CUST-9339"/>
    <s v="Customer 63"/>
    <x v="0"/>
    <s v="United States"/>
    <s v="Seattle"/>
    <x v="8"/>
    <n v="80251"/>
    <x v="2"/>
    <s v="PROD-2419"/>
    <x v="1"/>
    <x v="2"/>
    <x v="128"/>
    <x v="148"/>
    <n v="13"/>
    <n v="0.87"/>
    <n v="781.55"/>
  </r>
  <r>
    <s v="ORD-1149"/>
    <x v="149"/>
    <x v="149"/>
    <x v="3"/>
    <s v="CUST-9482"/>
    <s v="Customer 381"/>
    <x v="2"/>
    <s v="United States"/>
    <s v="Seattle"/>
    <x v="2"/>
    <n v="42299"/>
    <x v="3"/>
    <s v="PROD-7104"/>
    <x v="2"/>
    <x v="7"/>
    <x v="129"/>
    <x v="149"/>
    <n v="5"/>
    <n v="0.64"/>
    <n v="191.48"/>
  </r>
  <r>
    <s v="ORD-1150"/>
    <x v="150"/>
    <x v="150"/>
    <x v="3"/>
    <s v="CUST-6193"/>
    <s v="Customer 148"/>
    <x v="0"/>
    <s v="United States"/>
    <s v="Dallas"/>
    <x v="6"/>
    <n v="82053"/>
    <x v="3"/>
    <s v="PROD-4529"/>
    <x v="2"/>
    <x v="7"/>
    <x v="130"/>
    <x v="150"/>
    <n v="12"/>
    <n v="0.2"/>
    <n v="106.5"/>
  </r>
  <r>
    <s v="ORD-1151"/>
    <x v="151"/>
    <x v="151"/>
    <x v="2"/>
    <s v="CUST-2148"/>
    <s v="Customer 42"/>
    <x v="1"/>
    <s v="United States"/>
    <s v="Chicago"/>
    <x v="2"/>
    <n v="71352"/>
    <x v="1"/>
    <s v="PROD-4219"/>
    <x v="2"/>
    <x v="7"/>
    <x v="17"/>
    <x v="151"/>
    <n v="2"/>
    <n v="0"/>
    <n v="594.16"/>
  </r>
  <r>
    <s v="ORD-1152"/>
    <x v="152"/>
    <x v="152"/>
    <x v="3"/>
    <s v="CUST-9534"/>
    <s v="Customer 10"/>
    <x v="1"/>
    <s v="United States"/>
    <s v="Dallas"/>
    <x v="2"/>
    <n v="91419"/>
    <x v="1"/>
    <s v="PROD-2474"/>
    <x v="1"/>
    <x v="4"/>
    <x v="131"/>
    <x v="152"/>
    <n v="10"/>
    <n v="0.81"/>
    <n v="1803.44"/>
  </r>
  <r>
    <s v="ORD-1153"/>
    <x v="153"/>
    <x v="153"/>
    <x v="3"/>
    <s v="CUST-4169"/>
    <s v="Customer 294"/>
    <x v="0"/>
    <s v="United States"/>
    <s v="Phoenix"/>
    <x v="6"/>
    <n v="35489"/>
    <x v="2"/>
    <s v="PROD-9982"/>
    <x v="1"/>
    <x v="2"/>
    <x v="132"/>
    <x v="153"/>
    <n v="9"/>
    <n v="0.71"/>
    <n v="1882.57"/>
  </r>
  <r>
    <s v="ORD-1154"/>
    <x v="154"/>
    <x v="154"/>
    <x v="0"/>
    <s v="CUST-6419"/>
    <s v="Customer 433"/>
    <x v="1"/>
    <s v="United States"/>
    <s v="Los Angeles"/>
    <x v="7"/>
    <n v="27261"/>
    <x v="3"/>
    <s v="PROD-7077"/>
    <x v="2"/>
    <x v="6"/>
    <x v="133"/>
    <x v="154"/>
    <n v="10"/>
    <n v="0.26"/>
    <n v="671.84"/>
  </r>
  <r>
    <s v="ORD-1155"/>
    <x v="155"/>
    <x v="155"/>
    <x v="2"/>
    <s v="CUST-2407"/>
    <s v="Customer 355"/>
    <x v="2"/>
    <s v="United States"/>
    <s v="Dallas"/>
    <x v="1"/>
    <n v="52203"/>
    <x v="0"/>
    <s v="PROD-4748"/>
    <x v="0"/>
    <x v="1"/>
    <x v="134"/>
    <x v="155"/>
    <n v="7"/>
    <n v="0.54"/>
    <n v="370.38"/>
  </r>
  <r>
    <s v="ORD-1156"/>
    <x v="156"/>
    <x v="156"/>
    <x v="2"/>
    <s v="CUST-9924"/>
    <s v="Customer 26"/>
    <x v="1"/>
    <s v="United States"/>
    <s v="Phoenix"/>
    <x v="6"/>
    <n v="28843"/>
    <x v="3"/>
    <s v="PROD-9042"/>
    <x v="1"/>
    <x v="3"/>
    <x v="135"/>
    <x v="156"/>
    <n v="9"/>
    <n v="0.53"/>
    <n v="-990.7"/>
  </r>
  <r>
    <s v="ORD-1157"/>
    <x v="157"/>
    <x v="157"/>
    <x v="0"/>
    <s v="CUST-9343"/>
    <s v="Customer 408"/>
    <x v="1"/>
    <s v="United States"/>
    <s v="Chicago"/>
    <x v="0"/>
    <n v="89476"/>
    <x v="0"/>
    <s v="PROD-2847"/>
    <x v="2"/>
    <x v="6"/>
    <x v="136"/>
    <x v="157"/>
    <n v="14"/>
    <n v="0.17"/>
    <n v="735.65"/>
  </r>
  <r>
    <s v="ORD-1158"/>
    <x v="158"/>
    <x v="158"/>
    <x v="2"/>
    <s v="CUST-2842"/>
    <s v="Customer 388"/>
    <x v="0"/>
    <s v="United States"/>
    <s v="Denver"/>
    <x v="2"/>
    <n v="10474"/>
    <x v="0"/>
    <s v="PROD-4404"/>
    <x v="2"/>
    <x v="6"/>
    <x v="137"/>
    <x v="158"/>
    <n v="11"/>
    <n v="0.36"/>
    <n v="577.5"/>
  </r>
  <r>
    <s v="ORD-1159"/>
    <x v="159"/>
    <x v="159"/>
    <x v="2"/>
    <s v="CUST-7381"/>
    <s v="Customer 182"/>
    <x v="2"/>
    <s v="United States"/>
    <s v="Phoenix"/>
    <x v="5"/>
    <n v="56763"/>
    <x v="3"/>
    <s v="PROD-9172"/>
    <x v="1"/>
    <x v="10"/>
    <x v="138"/>
    <x v="159"/>
    <n v="14"/>
    <n v="0.44"/>
    <n v="151.94"/>
  </r>
  <r>
    <s v="ORD-1160"/>
    <x v="160"/>
    <x v="160"/>
    <x v="3"/>
    <s v="CUST-7842"/>
    <s v="Customer 438"/>
    <x v="2"/>
    <s v="United States"/>
    <s v="Dallas"/>
    <x v="2"/>
    <n v="13070"/>
    <x v="1"/>
    <s v="PROD-6451"/>
    <x v="1"/>
    <x v="2"/>
    <x v="139"/>
    <x v="160"/>
    <n v="10"/>
    <n v="0.63"/>
    <n v="36.71"/>
  </r>
  <r>
    <s v="ORD-1161"/>
    <x v="161"/>
    <x v="161"/>
    <x v="2"/>
    <s v="CUST-3649"/>
    <s v="Customer 482"/>
    <x v="2"/>
    <s v="United States"/>
    <s v="Houston"/>
    <x v="7"/>
    <n v="19228"/>
    <x v="1"/>
    <s v="PROD-7812"/>
    <x v="1"/>
    <x v="4"/>
    <x v="140"/>
    <x v="161"/>
    <n v="14"/>
    <n v="0.57999999999999996"/>
    <n v="1392.15"/>
  </r>
  <r>
    <s v="ORD-1162"/>
    <x v="162"/>
    <x v="162"/>
    <x v="0"/>
    <s v="CUST-1567"/>
    <s v="Customer 25"/>
    <x v="1"/>
    <s v="United States"/>
    <s v="Chicago"/>
    <x v="5"/>
    <n v="99888"/>
    <x v="1"/>
    <s v="PROD-1618"/>
    <x v="2"/>
    <x v="11"/>
    <x v="141"/>
    <x v="162"/>
    <n v="10"/>
    <n v="0.08"/>
    <n v="1673.55"/>
  </r>
  <r>
    <s v="ORD-1163"/>
    <x v="163"/>
    <x v="163"/>
    <x v="0"/>
    <s v="CUST-8423"/>
    <s v="Customer 29"/>
    <x v="2"/>
    <s v="United States"/>
    <s v="Phoenix"/>
    <x v="2"/>
    <n v="46140"/>
    <x v="1"/>
    <s v="PROD-1106"/>
    <x v="1"/>
    <x v="4"/>
    <x v="142"/>
    <x v="163"/>
    <n v="6"/>
    <n v="0.61"/>
    <n v="658.23"/>
  </r>
  <r>
    <s v="ORD-1164"/>
    <x v="164"/>
    <x v="164"/>
    <x v="3"/>
    <s v="CUST-1006"/>
    <s v="Customer 397"/>
    <x v="2"/>
    <s v="United States"/>
    <s v="Miami"/>
    <x v="5"/>
    <n v="15272"/>
    <x v="1"/>
    <s v="PROD-1184"/>
    <x v="1"/>
    <x v="4"/>
    <x v="67"/>
    <x v="164"/>
    <n v="9"/>
    <n v="0.2"/>
    <n v="420.63"/>
  </r>
  <r>
    <s v="ORD-1165"/>
    <x v="165"/>
    <x v="165"/>
    <x v="1"/>
    <s v="CUST-4136"/>
    <s v="Customer 386"/>
    <x v="2"/>
    <s v="United States"/>
    <s v="Miami"/>
    <x v="6"/>
    <n v="46710"/>
    <x v="1"/>
    <s v="PROD-7320"/>
    <x v="2"/>
    <x v="11"/>
    <x v="143"/>
    <x v="165"/>
    <n v="3"/>
    <n v="0.18"/>
    <n v="582.54999999999995"/>
  </r>
  <r>
    <s v="ORD-1166"/>
    <x v="166"/>
    <x v="166"/>
    <x v="2"/>
    <s v="CUST-3464"/>
    <s v="Customer 420"/>
    <x v="0"/>
    <s v="United States"/>
    <s v="Phoenix"/>
    <x v="7"/>
    <n v="70595"/>
    <x v="1"/>
    <s v="PROD-3053"/>
    <x v="1"/>
    <x v="2"/>
    <x v="29"/>
    <x v="166"/>
    <n v="8"/>
    <n v="0.72"/>
    <n v="797.34"/>
  </r>
  <r>
    <s v="ORD-1167"/>
    <x v="167"/>
    <x v="167"/>
    <x v="0"/>
    <s v="CUST-1316"/>
    <s v="Customer 32"/>
    <x v="1"/>
    <s v="United States"/>
    <s v="Seattle"/>
    <x v="6"/>
    <n v="44896"/>
    <x v="1"/>
    <s v="PROD-5235"/>
    <x v="1"/>
    <x v="2"/>
    <x v="144"/>
    <x v="167"/>
    <n v="12"/>
    <n v="0.11"/>
    <n v="1514.16"/>
  </r>
  <r>
    <s v="ORD-1168"/>
    <x v="168"/>
    <x v="168"/>
    <x v="2"/>
    <s v="CUST-1979"/>
    <s v="Customer 148"/>
    <x v="2"/>
    <s v="United States"/>
    <s v="Seattle"/>
    <x v="2"/>
    <n v="83130"/>
    <x v="3"/>
    <s v="PROD-3021"/>
    <x v="1"/>
    <x v="3"/>
    <x v="145"/>
    <x v="168"/>
    <n v="9"/>
    <n v="0.02"/>
    <n v="1668.54"/>
  </r>
  <r>
    <s v="ORD-1169"/>
    <x v="169"/>
    <x v="169"/>
    <x v="2"/>
    <s v="CUST-7993"/>
    <s v="Customer 316"/>
    <x v="1"/>
    <s v="United States"/>
    <s v="Dallas"/>
    <x v="3"/>
    <n v="76707"/>
    <x v="3"/>
    <s v="PROD-3856"/>
    <x v="0"/>
    <x v="8"/>
    <x v="146"/>
    <x v="169"/>
    <n v="9"/>
    <n v="0.42"/>
    <n v="-169.79"/>
  </r>
  <r>
    <s v="ORD-1170"/>
    <x v="170"/>
    <x v="170"/>
    <x v="3"/>
    <s v="CUST-8436"/>
    <s v="Customer 192"/>
    <x v="0"/>
    <s v="United States"/>
    <s v="Dallas"/>
    <x v="8"/>
    <n v="51354"/>
    <x v="0"/>
    <s v="PROD-5085"/>
    <x v="0"/>
    <x v="8"/>
    <x v="147"/>
    <x v="170"/>
    <n v="8"/>
    <n v="0.71"/>
    <n v="613.66999999999996"/>
  </r>
  <r>
    <s v="ORD-1171"/>
    <x v="171"/>
    <x v="171"/>
    <x v="1"/>
    <s v="CUST-1457"/>
    <s v="Customer 165"/>
    <x v="1"/>
    <s v="United States"/>
    <s v="Phoenix"/>
    <x v="6"/>
    <n v="25737"/>
    <x v="3"/>
    <s v="PROD-7366"/>
    <x v="1"/>
    <x v="2"/>
    <x v="148"/>
    <x v="171"/>
    <n v="2"/>
    <n v="0.74"/>
    <n v="1077.8499999999999"/>
  </r>
  <r>
    <s v="ORD-1172"/>
    <x v="172"/>
    <x v="172"/>
    <x v="3"/>
    <s v="CUST-6213"/>
    <s v="Customer 437"/>
    <x v="1"/>
    <s v="United States"/>
    <s v="New York"/>
    <x v="8"/>
    <n v="15502"/>
    <x v="3"/>
    <s v="PROD-3812"/>
    <x v="0"/>
    <x v="1"/>
    <x v="149"/>
    <x v="172"/>
    <n v="4"/>
    <n v="0.37"/>
    <n v="1809.41"/>
  </r>
  <r>
    <s v="ORD-1173"/>
    <x v="173"/>
    <x v="173"/>
    <x v="1"/>
    <s v="CUST-7749"/>
    <s v="Customer 178"/>
    <x v="0"/>
    <s v="United States"/>
    <s v="New York"/>
    <x v="5"/>
    <n v="70162"/>
    <x v="0"/>
    <s v="PROD-5283"/>
    <x v="2"/>
    <x v="11"/>
    <x v="150"/>
    <x v="173"/>
    <n v="14"/>
    <n v="0.3"/>
    <n v="318.89"/>
  </r>
  <r>
    <s v="ORD-1174"/>
    <x v="174"/>
    <x v="174"/>
    <x v="1"/>
    <s v="CUST-8459"/>
    <s v="Customer 164"/>
    <x v="0"/>
    <s v="United States"/>
    <s v="Denver"/>
    <x v="3"/>
    <n v="46951"/>
    <x v="0"/>
    <s v="PROD-3250"/>
    <x v="0"/>
    <x v="8"/>
    <x v="151"/>
    <x v="174"/>
    <n v="2"/>
    <n v="0.34"/>
    <n v="22.29"/>
  </r>
  <r>
    <s v="ORD-1175"/>
    <x v="175"/>
    <x v="175"/>
    <x v="2"/>
    <s v="CUST-2973"/>
    <s v="Customer 113"/>
    <x v="2"/>
    <s v="United States"/>
    <s v="New York"/>
    <x v="6"/>
    <n v="58496"/>
    <x v="3"/>
    <s v="PROD-7793"/>
    <x v="0"/>
    <x v="0"/>
    <x v="152"/>
    <x v="175"/>
    <n v="2"/>
    <n v="0.59"/>
    <n v="1896.5"/>
  </r>
  <r>
    <s v="ORD-1176"/>
    <x v="176"/>
    <x v="176"/>
    <x v="1"/>
    <s v="CUST-9281"/>
    <s v="Customer 124"/>
    <x v="0"/>
    <s v="United States"/>
    <s v="Dallas"/>
    <x v="8"/>
    <n v="60225"/>
    <x v="2"/>
    <s v="PROD-6446"/>
    <x v="2"/>
    <x v="7"/>
    <x v="153"/>
    <x v="176"/>
    <n v="2"/>
    <n v="0.64"/>
    <n v="374.43"/>
  </r>
  <r>
    <s v="ORD-1177"/>
    <x v="177"/>
    <x v="177"/>
    <x v="1"/>
    <s v="CUST-1795"/>
    <s v="Customer 234"/>
    <x v="1"/>
    <s v="United States"/>
    <s v="Denver"/>
    <x v="0"/>
    <n v="27268"/>
    <x v="3"/>
    <s v="PROD-5272"/>
    <x v="2"/>
    <x v="5"/>
    <x v="154"/>
    <x v="177"/>
    <n v="14"/>
    <n v="0.66"/>
    <n v="383.83"/>
  </r>
  <r>
    <s v="ORD-1178"/>
    <x v="178"/>
    <x v="178"/>
    <x v="1"/>
    <s v="CUST-6097"/>
    <s v="Customer 215"/>
    <x v="0"/>
    <s v="United States"/>
    <s v="New York"/>
    <x v="8"/>
    <n v="78732"/>
    <x v="1"/>
    <s v="PROD-2721"/>
    <x v="1"/>
    <x v="10"/>
    <x v="155"/>
    <x v="178"/>
    <n v="5"/>
    <n v="0.47"/>
    <n v="1798.73"/>
  </r>
  <r>
    <s v="ORD-1179"/>
    <x v="179"/>
    <x v="179"/>
    <x v="3"/>
    <s v="CUST-5789"/>
    <s v="Customer 94"/>
    <x v="1"/>
    <s v="United States"/>
    <s v="Miami"/>
    <x v="8"/>
    <n v="39223"/>
    <x v="0"/>
    <s v="PROD-8056"/>
    <x v="2"/>
    <x v="7"/>
    <x v="18"/>
    <x v="179"/>
    <n v="4"/>
    <n v="0.35"/>
    <n v="782.49"/>
  </r>
  <r>
    <s v="ORD-1180"/>
    <x v="180"/>
    <x v="180"/>
    <x v="0"/>
    <s v="CUST-9656"/>
    <s v="Customer 426"/>
    <x v="0"/>
    <s v="United States"/>
    <s v="Phoenix"/>
    <x v="3"/>
    <n v="82217"/>
    <x v="2"/>
    <s v="PROD-6307"/>
    <x v="0"/>
    <x v="0"/>
    <x v="156"/>
    <x v="180"/>
    <n v="10"/>
    <n v="0.02"/>
    <n v="-877.61"/>
  </r>
  <r>
    <s v="ORD-1181"/>
    <x v="181"/>
    <x v="181"/>
    <x v="2"/>
    <s v="CUST-7880"/>
    <s v="Customer 188"/>
    <x v="2"/>
    <s v="United States"/>
    <s v="Houston"/>
    <x v="6"/>
    <n v="64843"/>
    <x v="1"/>
    <s v="PROD-3091"/>
    <x v="0"/>
    <x v="0"/>
    <x v="157"/>
    <x v="181"/>
    <n v="14"/>
    <n v="0.17"/>
    <n v="1033.8900000000001"/>
  </r>
  <r>
    <s v="ORD-1182"/>
    <x v="182"/>
    <x v="182"/>
    <x v="2"/>
    <s v="CUST-9527"/>
    <s v="Customer 474"/>
    <x v="1"/>
    <s v="United States"/>
    <s v="New York"/>
    <x v="7"/>
    <n v="85943"/>
    <x v="3"/>
    <s v="PROD-8066"/>
    <x v="1"/>
    <x v="10"/>
    <x v="158"/>
    <x v="182"/>
    <n v="9"/>
    <n v="0.25"/>
    <n v="106.54"/>
  </r>
  <r>
    <s v="ORD-1183"/>
    <x v="183"/>
    <x v="183"/>
    <x v="3"/>
    <s v="CUST-6797"/>
    <s v="Customer 281"/>
    <x v="2"/>
    <s v="United States"/>
    <s v="Chicago"/>
    <x v="6"/>
    <n v="30564"/>
    <x v="0"/>
    <s v="PROD-3118"/>
    <x v="2"/>
    <x v="6"/>
    <x v="121"/>
    <x v="183"/>
    <n v="9"/>
    <n v="0.33"/>
    <n v="363.84"/>
  </r>
  <r>
    <s v="ORD-1184"/>
    <x v="184"/>
    <x v="184"/>
    <x v="1"/>
    <s v="CUST-9882"/>
    <s v="Customer 399"/>
    <x v="1"/>
    <s v="United States"/>
    <s v="Seattle"/>
    <x v="7"/>
    <n v="69885"/>
    <x v="1"/>
    <s v="PROD-9629"/>
    <x v="2"/>
    <x v="7"/>
    <x v="159"/>
    <x v="184"/>
    <n v="14"/>
    <n v="0.47"/>
    <n v="1121.71"/>
  </r>
  <r>
    <s v="ORD-1185"/>
    <x v="185"/>
    <x v="185"/>
    <x v="2"/>
    <s v="CUST-9242"/>
    <s v="Customer 412"/>
    <x v="1"/>
    <s v="United States"/>
    <s v="Houston"/>
    <x v="3"/>
    <n v="79233"/>
    <x v="2"/>
    <s v="PROD-7509"/>
    <x v="1"/>
    <x v="2"/>
    <x v="60"/>
    <x v="185"/>
    <n v="11"/>
    <n v="0.57999999999999996"/>
    <n v="1527.2"/>
  </r>
  <r>
    <s v="ORD-1186"/>
    <x v="186"/>
    <x v="186"/>
    <x v="2"/>
    <s v="CUST-6909"/>
    <s v="Customer 309"/>
    <x v="0"/>
    <s v="United States"/>
    <s v="Seattle"/>
    <x v="2"/>
    <n v="89366"/>
    <x v="1"/>
    <s v="PROD-7776"/>
    <x v="0"/>
    <x v="0"/>
    <x v="160"/>
    <x v="186"/>
    <n v="11"/>
    <n v="0.56000000000000005"/>
    <n v="-606.30999999999995"/>
  </r>
  <r>
    <s v="ORD-1187"/>
    <x v="187"/>
    <x v="187"/>
    <x v="0"/>
    <s v="CUST-3789"/>
    <s v="Customer 230"/>
    <x v="1"/>
    <s v="United States"/>
    <s v="Los Angeles"/>
    <x v="5"/>
    <n v="91041"/>
    <x v="1"/>
    <s v="PROD-1328"/>
    <x v="0"/>
    <x v="1"/>
    <x v="161"/>
    <x v="187"/>
    <n v="3"/>
    <n v="0.48"/>
    <n v="-9.85"/>
  </r>
  <r>
    <s v="ORD-1188"/>
    <x v="188"/>
    <x v="188"/>
    <x v="3"/>
    <s v="CUST-3519"/>
    <s v="Customer 260"/>
    <x v="2"/>
    <s v="United States"/>
    <s v="Phoenix"/>
    <x v="4"/>
    <n v="90907"/>
    <x v="1"/>
    <s v="PROD-9926"/>
    <x v="2"/>
    <x v="6"/>
    <x v="162"/>
    <x v="188"/>
    <n v="1"/>
    <n v="0.52"/>
    <n v="732.51"/>
  </r>
  <r>
    <s v="ORD-1189"/>
    <x v="189"/>
    <x v="189"/>
    <x v="0"/>
    <s v="CUST-2497"/>
    <s v="Customer 172"/>
    <x v="2"/>
    <s v="United States"/>
    <s v="Seattle"/>
    <x v="3"/>
    <n v="13621"/>
    <x v="1"/>
    <s v="PROD-3549"/>
    <x v="2"/>
    <x v="11"/>
    <x v="163"/>
    <x v="189"/>
    <n v="12"/>
    <n v="0.43"/>
    <n v="21.55"/>
  </r>
  <r>
    <s v="ORD-1190"/>
    <x v="190"/>
    <x v="190"/>
    <x v="3"/>
    <s v="CUST-5207"/>
    <s v="Customer 406"/>
    <x v="1"/>
    <s v="United States"/>
    <s v="Denver"/>
    <x v="0"/>
    <n v="88684"/>
    <x v="1"/>
    <s v="PROD-4562"/>
    <x v="1"/>
    <x v="10"/>
    <x v="164"/>
    <x v="190"/>
    <n v="14"/>
    <n v="0.08"/>
    <n v="1963.66"/>
  </r>
  <r>
    <s v="ORD-1191"/>
    <x v="191"/>
    <x v="191"/>
    <x v="0"/>
    <s v="CUST-6554"/>
    <s v="Customer 209"/>
    <x v="0"/>
    <s v="United States"/>
    <s v="Miami"/>
    <x v="1"/>
    <n v="33135"/>
    <x v="1"/>
    <s v="PROD-8627"/>
    <x v="0"/>
    <x v="0"/>
    <x v="133"/>
    <x v="191"/>
    <n v="10"/>
    <n v="0.59"/>
    <n v="1457.63"/>
  </r>
  <r>
    <s v="ORD-1192"/>
    <x v="192"/>
    <x v="192"/>
    <x v="0"/>
    <s v="CUST-2428"/>
    <s v="Customer 492"/>
    <x v="0"/>
    <s v="United States"/>
    <s v="Miami"/>
    <x v="1"/>
    <n v="37582"/>
    <x v="1"/>
    <s v="PROD-1004"/>
    <x v="2"/>
    <x v="11"/>
    <x v="165"/>
    <x v="192"/>
    <n v="13"/>
    <n v="0.04"/>
    <n v="-28.98"/>
  </r>
  <r>
    <s v="ORD-1193"/>
    <x v="193"/>
    <x v="193"/>
    <x v="0"/>
    <s v="CUST-4389"/>
    <s v="Customer 20"/>
    <x v="0"/>
    <s v="United States"/>
    <s v="Los Angeles"/>
    <x v="4"/>
    <n v="22305"/>
    <x v="3"/>
    <s v="PROD-9010"/>
    <x v="0"/>
    <x v="8"/>
    <x v="131"/>
    <x v="193"/>
    <n v="13"/>
    <n v="0.57999999999999996"/>
    <n v="-15.67"/>
  </r>
  <r>
    <s v="ORD-1194"/>
    <x v="194"/>
    <x v="194"/>
    <x v="3"/>
    <s v="CUST-1528"/>
    <s v="Customer 72"/>
    <x v="2"/>
    <s v="United States"/>
    <s v="Houston"/>
    <x v="1"/>
    <n v="16373"/>
    <x v="1"/>
    <s v="PROD-4124"/>
    <x v="0"/>
    <x v="0"/>
    <x v="27"/>
    <x v="194"/>
    <n v="6"/>
    <n v="0.6"/>
    <n v="319.35000000000002"/>
  </r>
  <r>
    <s v="ORD-1195"/>
    <x v="195"/>
    <x v="195"/>
    <x v="0"/>
    <s v="CUST-8648"/>
    <s v="Customer 426"/>
    <x v="1"/>
    <s v="United States"/>
    <s v="Seattle"/>
    <x v="1"/>
    <n v="45133"/>
    <x v="3"/>
    <s v="PROD-5405"/>
    <x v="0"/>
    <x v="9"/>
    <x v="148"/>
    <x v="195"/>
    <n v="12"/>
    <n v="0.73"/>
    <n v="-25.73"/>
  </r>
  <r>
    <s v="ORD-1196"/>
    <x v="196"/>
    <x v="196"/>
    <x v="2"/>
    <s v="CUST-9949"/>
    <s v="Customer 303"/>
    <x v="1"/>
    <s v="United States"/>
    <s v="Miami"/>
    <x v="3"/>
    <n v="23222"/>
    <x v="3"/>
    <s v="PROD-4166"/>
    <x v="0"/>
    <x v="1"/>
    <x v="120"/>
    <x v="196"/>
    <n v="13"/>
    <n v="0.6"/>
    <n v="2099.15"/>
  </r>
  <r>
    <s v="ORD-1197"/>
    <x v="197"/>
    <x v="197"/>
    <x v="0"/>
    <s v="CUST-2687"/>
    <s v="Customer 114"/>
    <x v="2"/>
    <s v="United States"/>
    <s v="Seattle"/>
    <x v="1"/>
    <n v="53571"/>
    <x v="0"/>
    <s v="PROD-9986"/>
    <x v="2"/>
    <x v="11"/>
    <x v="166"/>
    <x v="197"/>
    <n v="1"/>
    <n v="0.08"/>
    <n v="804.87"/>
  </r>
  <r>
    <s v="ORD-1198"/>
    <x v="198"/>
    <x v="198"/>
    <x v="3"/>
    <s v="CUST-5529"/>
    <s v="Customer 340"/>
    <x v="2"/>
    <s v="United States"/>
    <s v="Houston"/>
    <x v="7"/>
    <n v="14215"/>
    <x v="0"/>
    <s v="PROD-2433"/>
    <x v="2"/>
    <x v="5"/>
    <x v="167"/>
    <x v="198"/>
    <n v="5"/>
    <n v="0.81"/>
    <n v="79.010000000000005"/>
  </r>
  <r>
    <s v="ORD-1199"/>
    <x v="199"/>
    <x v="199"/>
    <x v="0"/>
    <s v="CUST-5730"/>
    <s v="Customer 476"/>
    <x v="2"/>
    <s v="United States"/>
    <s v="Seattle"/>
    <x v="0"/>
    <n v="36061"/>
    <x v="3"/>
    <s v="PROD-9330"/>
    <x v="1"/>
    <x v="4"/>
    <x v="66"/>
    <x v="199"/>
    <n v="2"/>
    <n v="0.54"/>
    <n v="1185.03"/>
  </r>
  <r>
    <s v="ORD-1200"/>
    <x v="200"/>
    <x v="200"/>
    <x v="1"/>
    <s v="CUST-5057"/>
    <s v="Customer 432"/>
    <x v="2"/>
    <s v="United States"/>
    <s v="Houston"/>
    <x v="5"/>
    <n v="78688"/>
    <x v="3"/>
    <s v="PROD-8543"/>
    <x v="0"/>
    <x v="1"/>
    <x v="168"/>
    <x v="200"/>
    <n v="5"/>
    <n v="0.87"/>
    <n v="468.53"/>
  </r>
  <r>
    <s v="ORD-1201"/>
    <x v="201"/>
    <x v="201"/>
    <x v="1"/>
    <s v="CUST-1552"/>
    <s v="Customer 161"/>
    <x v="2"/>
    <s v="United States"/>
    <s v="Houston"/>
    <x v="5"/>
    <n v="39615"/>
    <x v="2"/>
    <s v="PROD-5242"/>
    <x v="0"/>
    <x v="0"/>
    <x v="169"/>
    <x v="201"/>
    <n v="13"/>
    <n v="0.84"/>
    <n v="1093.3499999999999"/>
  </r>
  <r>
    <s v="ORD-1202"/>
    <x v="202"/>
    <x v="202"/>
    <x v="3"/>
    <s v="CUST-9451"/>
    <s v="Customer 108"/>
    <x v="2"/>
    <s v="United States"/>
    <s v="Chicago"/>
    <x v="5"/>
    <n v="48187"/>
    <x v="1"/>
    <s v="PROD-4499"/>
    <x v="1"/>
    <x v="4"/>
    <x v="127"/>
    <x v="202"/>
    <n v="1"/>
    <n v="0.27"/>
    <n v="-19.11"/>
  </r>
  <r>
    <s v="ORD-1203"/>
    <x v="203"/>
    <x v="203"/>
    <x v="0"/>
    <s v="CUST-6384"/>
    <s v="Customer 350"/>
    <x v="0"/>
    <s v="United States"/>
    <s v="Chicago"/>
    <x v="5"/>
    <n v="15209"/>
    <x v="2"/>
    <s v="PROD-3847"/>
    <x v="1"/>
    <x v="2"/>
    <x v="13"/>
    <x v="203"/>
    <n v="10"/>
    <n v="0.34"/>
    <n v="343.56"/>
  </r>
  <r>
    <s v="ORD-1204"/>
    <x v="204"/>
    <x v="204"/>
    <x v="3"/>
    <s v="CUST-9774"/>
    <s v="Customer 386"/>
    <x v="1"/>
    <s v="United States"/>
    <s v="Miami"/>
    <x v="7"/>
    <n v="38507"/>
    <x v="0"/>
    <s v="PROD-8581"/>
    <x v="1"/>
    <x v="2"/>
    <x v="153"/>
    <x v="204"/>
    <n v="9"/>
    <n v="0.35"/>
    <n v="71.08"/>
  </r>
  <r>
    <s v="ORD-1205"/>
    <x v="205"/>
    <x v="205"/>
    <x v="0"/>
    <s v="CUST-2598"/>
    <s v="Customer 399"/>
    <x v="0"/>
    <s v="United States"/>
    <s v="Chicago"/>
    <x v="3"/>
    <n v="12885"/>
    <x v="3"/>
    <s v="PROD-2024"/>
    <x v="2"/>
    <x v="6"/>
    <x v="129"/>
    <x v="205"/>
    <n v="2"/>
    <n v="0.78"/>
    <n v="968.43"/>
  </r>
  <r>
    <s v="ORD-1206"/>
    <x v="206"/>
    <x v="206"/>
    <x v="1"/>
    <s v="CUST-6988"/>
    <s v="Customer 189"/>
    <x v="2"/>
    <s v="United States"/>
    <s v="Phoenix"/>
    <x v="3"/>
    <n v="34399"/>
    <x v="0"/>
    <s v="PROD-4244"/>
    <x v="0"/>
    <x v="1"/>
    <x v="143"/>
    <x v="206"/>
    <n v="3"/>
    <n v="0.56000000000000005"/>
    <n v="16.239999999999998"/>
  </r>
  <r>
    <s v="ORD-1207"/>
    <x v="207"/>
    <x v="207"/>
    <x v="0"/>
    <s v="CUST-8251"/>
    <s v="Customer 496"/>
    <x v="1"/>
    <s v="United States"/>
    <s v="Los Angeles"/>
    <x v="4"/>
    <n v="27194"/>
    <x v="0"/>
    <s v="PROD-5116"/>
    <x v="0"/>
    <x v="8"/>
    <x v="170"/>
    <x v="207"/>
    <n v="4"/>
    <n v="0.03"/>
    <n v="51.3"/>
  </r>
  <r>
    <s v="ORD-1208"/>
    <x v="208"/>
    <x v="208"/>
    <x v="0"/>
    <s v="CUST-3142"/>
    <s v="Customer 130"/>
    <x v="1"/>
    <s v="United States"/>
    <s v="New York"/>
    <x v="3"/>
    <n v="96081"/>
    <x v="0"/>
    <s v="PROD-7492"/>
    <x v="0"/>
    <x v="8"/>
    <x v="171"/>
    <x v="208"/>
    <n v="3"/>
    <n v="0.6"/>
    <n v="-33.89"/>
  </r>
  <r>
    <s v="ORD-1209"/>
    <x v="209"/>
    <x v="209"/>
    <x v="0"/>
    <s v="CUST-2856"/>
    <s v="Customer 122"/>
    <x v="0"/>
    <s v="United States"/>
    <s v="Chicago"/>
    <x v="6"/>
    <n v="86895"/>
    <x v="3"/>
    <s v="PROD-4531"/>
    <x v="0"/>
    <x v="1"/>
    <x v="172"/>
    <x v="209"/>
    <n v="14"/>
    <n v="0.38"/>
    <n v="607.67999999999995"/>
  </r>
  <r>
    <s v="ORD-1210"/>
    <x v="210"/>
    <x v="210"/>
    <x v="1"/>
    <s v="CUST-2680"/>
    <s v="Customer 92"/>
    <x v="2"/>
    <s v="United States"/>
    <s v="Dallas"/>
    <x v="6"/>
    <n v="50713"/>
    <x v="2"/>
    <s v="PROD-5599"/>
    <x v="0"/>
    <x v="0"/>
    <x v="168"/>
    <x v="210"/>
    <n v="8"/>
    <n v="0.74"/>
    <n v="699.47"/>
  </r>
  <r>
    <s v="ORD-1211"/>
    <x v="211"/>
    <x v="211"/>
    <x v="3"/>
    <s v="CUST-4802"/>
    <s v="Customer 177"/>
    <x v="0"/>
    <s v="United States"/>
    <s v="Dallas"/>
    <x v="7"/>
    <n v="50390"/>
    <x v="3"/>
    <s v="PROD-8172"/>
    <x v="0"/>
    <x v="0"/>
    <x v="173"/>
    <x v="211"/>
    <n v="8"/>
    <n v="0.26"/>
    <n v="183.71"/>
  </r>
  <r>
    <s v="ORD-1212"/>
    <x v="212"/>
    <x v="212"/>
    <x v="2"/>
    <s v="CUST-5626"/>
    <s v="Customer 443"/>
    <x v="1"/>
    <s v="United States"/>
    <s v="New York"/>
    <x v="8"/>
    <n v="32234"/>
    <x v="2"/>
    <s v="PROD-2308"/>
    <x v="0"/>
    <x v="1"/>
    <x v="100"/>
    <x v="212"/>
    <n v="6"/>
    <n v="0.28000000000000003"/>
    <n v="147.69999999999999"/>
  </r>
  <r>
    <s v="ORD-1213"/>
    <x v="213"/>
    <x v="213"/>
    <x v="1"/>
    <s v="CUST-7352"/>
    <s v="Customer 60"/>
    <x v="2"/>
    <s v="United States"/>
    <s v="Dallas"/>
    <x v="1"/>
    <n v="17603"/>
    <x v="3"/>
    <s v="PROD-2810"/>
    <x v="2"/>
    <x v="11"/>
    <x v="174"/>
    <x v="213"/>
    <n v="3"/>
    <n v="0.38"/>
    <n v="1348.95"/>
  </r>
  <r>
    <s v="ORD-1214"/>
    <x v="214"/>
    <x v="214"/>
    <x v="3"/>
    <s v="CUST-9847"/>
    <s v="Customer 342"/>
    <x v="2"/>
    <s v="United States"/>
    <s v="Phoenix"/>
    <x v="0"/>
    <n v="85688"/>
    <x v="3"/>
    <s v="PROD-4088"/>
    <x v="2"/>
    <x v="11"/>
    <x v="126"/>
    <x v="214"/>
    <n v="9"/>
    <n v="0.56999999999999995"/>
    <n v="333.76"/>
  </r>
  <r>
    <s v="ORD-1215"/>
    <x v="215"/>
    <x v="215"/>
    <x v="0"/>
    <s v="CUST-7755"/>
    <s v="Customer 58"/>
    <x v="0"/>
    <s v="United States"/>
    <s v="New York"/>
    <x v="8"/>
    <n v="59666"/>
    <x v="1"/>
    <s v="PROD-9526"/>
    <x v="1"/>
    <x v="4"/>
    <x v="79"/>
    <x v="215"/>
    <n v="5"/>
    <n v="0.48"/>
    <n v="195.78"/>
  </r>
  <r>
    <s v="ORD-1216"/>
    <x v="216"/>
    <x v="216"/>
    <x v="3"/>
    <s v="CUST-5558"/>
    <s v="Customer 387"/>
    <x v="0"/>
    <s v="United States"/>
    <s v="Los Angeles"/>
    <x v="3"/>
    <n v="60741"/>
    <x v="1"/>
    <s v="PROD-4095"/>
    <x v="1"/>
    <x v="4"/>
    <x v="175"/>
    <x v="216"/>
    <n v="1"/>
    <n v="0.56999999999999995"/>
    <n v="542.5"/>
  </r>
  <r>
    <s v="ORD-1217"/>
    <x v="217"/>
    <x v="217"/>
    <x v="1"/>
    <s v="CUST-8113"/>
    <s v="Customer 443"/>
    <x v="0"/>
    <s v="United States"/>
    <s v="Denver"/>
    <x v="6"/>
    <n v="72934"/>
    <x v="3"/>
    <s v="PROD-1201"/>
    <x v="0"/>
    <x v="8"/>
    <x v="176"/>
    <x v="217"/>
    <n v="13"/>
    <n v="0.36"/>
    <n v="671.95"/>
  </r>
  <r>
    <s v="ORD-1218"/>
    <x v="218"/>
    <x v="218"/>
    <x v="3"/>
    <s v="CUST-7581"/>
    <s v="Customer 474"/>
    <x v="0"/>
    <s v="United States"/>
    <s v="Los Angeles"/>
    <x v="0"/>
    <n v="47018"/>
    <x v="0"/>
    <s v="PROD-1910"/>
    <x v="0"/>
    <x v="0"/>
    <x v="177"/>
    <x v="218"/>
    <n v="4"/>
    <n v="0.41"/>
    <n v="2344.5300000000002"/>
  </r>
  <r>
    <s v="ORD-1219"/>
    <x v="219"/>
    <x v="219"/>
    <x v="2"/>
    <s v="CUST-1679"/>
    <s v="Customer 25"/>
    <x v="2"/>
    <s v="United States"/>
    <s v="Houston"/>
    <x v="5"/>
    <n v="39988"/>
    <x v="0"/>
    <s v="PROD-8390"/>
    <x v="2"/>
    <x v="6"/>
    <x v="178"/>
    <x v="219"/>
    <n v="10"/>
    <n v="0.61"/>
    <n v="773.21"/>
  </r>
  <r>
    <s v="ORD-1220"/>
    <x v="220"/>
    <x v="220"/>
    <x v="1"/>
    <s v="CUST-9696"/>
    <s v="Customer 278"/>
    <x v="1"/>
    <s v="United States"/>
    <s v="Dallas"/>
    <x v="4"/>
    <n v="49736"/>
    <x v="3"/>
    <s v="PROD-1687"/>
    <x v="1"/>
    <x v="10"/>
    <x v="149"/>
    <x v="220"/>
    <n v="4"/>
    <n v="0.48"/>
    <n v="224.84"/>
  </r>
  <r>
    <s v="ORD-1221"/>
    <x v="221"/>
    <x v="221"/>
    <x v="3"/>
    <s v="CUST-6218"/>
    <s v="Customer 43"/>
    <x v="2"/>
    <s v="United States"/>
    <s v="Phoenix"/>
    <x v="8"/>
    <n v="38745"/>
    <x v="2"/>
    <s v="PROD-9362"/>
    <x v="2"/>
    <x v="5"/>
    <x v="160"/>
    <x v="221"/>
    <n v="9"/>
    <n v="0.19"/>
    <n v="898.5"/>
  </r>
  <r>
    <s v="ORD-1222"/>
    <x v="222"/>
    <x v="222"/>
    <x v="3"/>
    <s v="CUST-2304"/>
    <s v="Customer 407"/>
    <x v="1"/>
    <s v="United States"/>
    <s v="New York"/>
    <x v="0"/>
    <n v="63616"/>
    <x v="2"/>
    <s v="PROD-2230"/>
    <x v="0"/>
    <x v="9"/>
    <x v="179"/>
    <x v="222"/>
    <n v="5"/>
    <n v="0.43"/>
    <n v="318.43"/>
  </r>
  <r>
    <s v="ORD-1223"/>
    <x v="223"/>
    <x v="223"/>
    <x v="3"/>
    <s v="CUST-4562"/>
    <s v="Customer 65"/>
    <x v="1"/>
    <s v="United States"/>
    <s v="Dallas"/>
    <x v="4"/>
    <n v="37174"/>
    <x v="2"/>
    <s v="PROD-8471"/>
    <x v="0"/>
    <x v="0"/>
    <x v="180"/>
    <x v="223"/>
    <n v="3"/>
    <n v="0.81"/>
    <n v="465.21"/>
  </r>
  <r>
    <s v="ORD-1224"/>
    <x v="224"/>
    <x v="224"/>
    <x v="1"/>
    <s v="CUST-5619"/>
    <s v="Customer 181"/>
    <x v="1"/>
    <s v="United States"/>
    <s v="Miami"/>
    <x v="3"/>
    <n v="28237"/>
    <x v="2"/>
    <s v="PROD-2820"/>
    <x v="0"/>
    <x v="0"/>
    <x v="181"/>
    <x v="224"/>
    <n v="4"/>
    <n v="0.21"/>
    <n v="305.91000000000003"/>
  </r>
  <r>
    <s v="ORD-1225"/>
    <x v="225"/>
    <x v="225"/>
    <x v="2"/>
    <s v="CUST-6833"/>
    <s v="Customer 37"/>
    <x v="0"/>
    <s v="United States"/>
    <s v="Denver"/>
    <x v="6"/>
    <n v="82737"/>
    <x v="0"/>
    <s v="PROD-3627"/>
    <x v="2"/>
    <x v="11"/>
    <x v="182"/>
    <x v="225"/>
    <n v="4"/>
    <n v="0.02"/>
    <n v="280.67"/>
  </r>
  <r>
    <s v="ORD-1226"/>
    <x v="226"/>
    <x v="226"/>
    <x v="0"/>
    <s v="CUST-5423"/>
    <s v="Customer 176"/>
    <x v="2"/>
    <s v="United States"/>
    <s v="Chicago"/>
    <x v="6"/>
    <n v="98066"/>
    <x v="3"/>
    <s v="PROD-7680"/>
    <x v="2"/>
    <x v="5"/>
    <x v="183"/>
    <x v="226"/>
    <n v="10"/>
    <n v="0.71"/>
    <n v="60.74"/>
  </r>
  <r>
    <s v="ORD-1227"/>
    <x v="227"/>
    <x v="227"/>
    <x v="0"/>
    <s v="CUST-3532"/>
    <s v="Customer 91"/>
    <x v="0"/>
    <s v="United States"/>
    <s v="Dallas"/>
    <x v="7"/>
    <n v="40103"/>
    <x v="0"/>
    <s v="PROD-2256"/>
    <x v="2"/>
    <x v="7"/>
    <x v="184"/>
    <x v="227"/>
    <n v="7"/>
    <n v="0.1"/>
    <n v="1998.46"/>
  </r>
  <r>
    <s v="ORD-1228"/>
    <x v="228"/>
    <x v="228"/>
    <x v="2"/>
    <s v="CUST-3152"/>
    <s v="Customer 353"/>
    <x v="0"/>
    <s v="United States"/>
    <s v="Seattle"/>
    <x v="1"/>
    <n v="93393"/>
    <x v="3"/>
    <s v="PROD-4817"/>
    <x v="0"/>
    <x v="1"/>
    <x v="185"/>
    <x v="228"/>
    <n v="1"/>
    <n v="0.78"/>
    <n v="64.77"/>
  </r>
  <r>
    <s v="ORD-1229"/>
    <x v="229"/>
    <x v="229"/>
    <x v="1"/>
    <s v="CUST-8022"/>
    <s v="Customer 282"/>
    <x v="0"/>
    <s v="United States"/>
    <s v="Chicago"/>
    <x v="0"/>
    <n v="96340"/>
    <x v="1"/>
    <s v="PROD-4730"/>
    <x v="1"/>
    <x v="2"/>
    <x v="186"/>
    <x v="229"/>
    <n v="12"/>
    <n v="0.46"/>
    <n v="-321.05"/>
  </r>
  <r>
    <s v="ORD-1230"/>
    <x v="230"/>
    <x v="230"/>
    <x v="3"/>
    <s v="CUST-3233"/>
    <s v="Customer 418"/>
    <x v="0"/>
    <s v="United States"/>
    <s v="Phoenix"/>
    <x v="3"/>
    <n v="83246"/>
    <x v="3"/>
    <s v="PROD-7115"/>
    <x v="2"/>
    <x v="7"/>
    <x v="187"/>
    <x v="230"/>
    <n v="11"/>
    <n v="0.21"/>
    <n v="1742.03"/>
  </r>
  <r>
    <s v="ORD-1231"/>
    <x v="231"/>
    <x v="231"/>
    <x v="1"/>
    <s v="CUST-1156"/>
    <s v="Customer 200"/>
    <x v="2"/>
    <s v="United States"/>
    <s v="Seattle"/>
    <x v="7"/>
    <n v="61760"/>
    <x v="2"/>
    <s v="PROD-2788"/>
    <x v="1"/>
    <x v="10"/>
    <x v="188"/>
    <x v="231"/>
    <n v="12"/>
    <n v="0.6"/>
    <n v="73.64"/>
  </r>
  <r>
    <s v="ORD-1232"/>
    <x v="232"/>
    <x v="232"/>
    <x v="1"/>
    <s v="CUST-5832"/>
    <s v="Customer 291"/>
    <x v="2"/>
    <s v="United States"/>
    <s v="Houston"/>
    <x v="0"/>
    <n v="94777"/>
    <x v="1"/>
    <s v="PROD-7403"/>
    <x v="2"/>
    <x v="5"/>
    <x v="189"/>
    <x v="232"/>
    <n v="14"/>
    <n v="0.12"/>
    <n v="1205.53"/>
  </r>
  <r>
    <s v="ORD-1233"/>
    <x v="233"/>
    <x v="233"/>
    <x v="1"/>
    <s v="CUST-8568"/>
    <s v="Customer 189"/>
    <x v="1"/>
    <s v="United States"/>
    <s v="Phoenix"/>
    <x v="6"/>
    <n v="38214"/>
    <x v="2"/>
    <s v="PROD-6247"/>
    <x v="1"/>
    <x v="4"/>
    <x v="190"/>
    <x v="233"/>
    <n v="10"/>
    <n v="0.24"/>
    <n v="64.900000000000006"/>
  </r>
  <r>
    <s v="ORD-1234"/>
    <x v="234"/>
    <x v="234"/>
    <x v="0"/>
    <s v="CUST-6743"/>
    <s v="Customer 347"/>
    <x v="1"/>
    <s v="United States"/>
    <s v="Seattle"/>
    <x v="6"/>
    <n v="50711"/>
    <x v="2"/>
    <s v="PROD-3805"/>
    <x v="0"/>
    <x v="8"/>
    <x v="191"/>
    <x v="234"/>
    <n v="13"/>
    <n v="0.79"/>
    <n v="2277.7800000000002"/>
  </r>
  <r>
    <s v="ORD-1235"/>
    <x v="235"/>
    <x v="235"/>
    <x v="1"/>
    <s v="CUST-3358"/>
    <s v="Customer 494"/>
    <x v="2"/>
    <s v="United States"/>
    <s v="Seattle"/>
    <x v="6"/>
    <n v="89077"/>
    <x v="1"/>
    <s v="PROD-1139"/>
    <x v="0"/>
    <x v="0"/>
    <x v="192"/>
    <x v="235"/>
    <n v="4"/>
    <n v="0.8"/>
    <n v="1913.92"/>
  </r>
  <r>
    <s v="ORD-1236"/>
    <x v="236"/>
    <x v="236"/>
    <x v="3"/>
    <s v="CUST-7133"/>
    <s v="Customer 91"/>
    <x v="2"/>
    <s v="United States"/>
    <s v="Denver"/>
    <x v="8"/>
    <n v="66412"/>
    <x v="0"/>
    <s v="PROD-3035"/>
    <x v="2"/>
    <x v="11"/>
    <x v="193"/>
    <x v="236"/>
    <n v="11"/>
    <n v="0.79"/>
    <n v="2042.05"/>
  </r>
  <r>
    <s v="ORD-1237"/>
    <x v="237"/>
    <x v="237"/>
    <x v="0"/>
    <s v="CUST-7475"/>
    <s v="Customer 16"/>
    <x v="2"/>
    <s v="United States"/>
    <s v="Dallas"/>
    <x v="6"/>
    <n v="65273"/>
    <x v="2"/>
    <s v="PROD-7735"/>
    <x v="0"/>
    <x v="1"/>
    <x v="194"/>
    <x v="237"/>
    <n v="5"/>
    <n v="0.47"/>
    <n v="-396.11"/>
  </r>
  <r>
    <s v="ORD-1238"/>
    <x v="238"/>
    <x v="238"/>
    <x v="3"/>
    <s v="CUST-9920"/>
    <s v="Customer 330"/>
    <x v="2"/>
    <s v="United States"/>
    <s v="Chicago"/>
    <x v="0"/>
    <n v="46101"/>
    <x v="2"/>
    <s v="PROD-1269"/>
    <x v="0"/>
    <x v="1"/>
    <x v="195"/>
    <x v="238"/>
    <n v="5"/>
    <n v="0.79"/>
    <n v="-438.34"/>
  </r>
  <r>
    <s v="ORD-1239"/>
    <x v="239"/>
    <x v="239"/>
    <x v="3"/>
    <s v="CUST-1720"/>
    <s v="Customer 24"/>
    <x v="1"/>
    <s v="United States"/>
    <s v="Seattle"/>
    <x v="3"/>
    <n v="25503"/>
    <x v="1"/>
    <s v="PROD-2400"/>
    <x v="2"/>
    <x v="6"/>
    <x v="196"/>
    <x v="239"/>
    <n v="4"/>
    <n v="0.02"/>
    <n v="1751.64"/>
  </r>
  <r>
    <s v="ORD-1240"/>
    <x v="240"/>
    <x v="240"/>
    <x v="0"/>
    <s v="CUST-3612"/>
    <s v="Customer 47"/>
    <x v="0"/>
    <s v="United States"/>
    <s v="Houston"/>
    <x v="1"/>
    <n v="90794"/>
    <x v="0"/>
    <s v="PROD-8967"/>
    <x v="2"/>
    <x v="7"/>
    <x v="197"/>
    <x v="240"/>
    <n v="14"/>
    <n v="0.18"/>
    <n v="310.04000000000002"/>
  </r>
  <r>
    <s v="ORD-1241"/>
    <x v="241"/>
    <x v="241"/>
    <x v="3"/>
    <s v="CUST-4220"/>
    <s v="Customer 494"/>
    <x v="0"/>
    <s v="United States"/>
    <s v="Dallas"/>
    <x v="7"/>
    <n v="28537"/>
    <x v="0"/>
    <s v="PROD-5897"/>
    <x v="0"/>
    <x v="0"/>
    <x v="198"/>
    <x v="241"/>
    <n v="10"/>
    <n v="0.32"/>
    <n v="-58.95"/>
  </r>
  <r>
    <s v="ORD-1242"/>
    <x v="242"/>
    <x v="242"/>
    <x v="3"/>
    <s v="CUST-7109"/>
    <s v="Customer 179"/>
    <x v="2"/>
    <s v="United States"/>
    <s v="Miami"/>
    <x v="2"/>
    <n v="55568"/>
    <x v="0"/>
    <s v="PROD-5856"/>
    <x v="2"/>
    <x v="7"/>
    <x v="182"/>
    <x v="242"/>
    <n v="8"/>
    <n v="0.06"/>
    <n v="-882.41"/>
  </r>
  <r>
    <s v="ORD-1243"/>
    <x v="243"/>
    <x v="243"/>
    <x v="0"/>
    <s v="CUST-2084"/>
    <s v="Customer 333"/>
    <x v="0"/>
    <s v="United States"/>
    <s v="Phoenix"/>
    <x v="4"/>
    <n v="40099"/>
    <x v="3"/>
    <s v="PROD-4664"/>
    <x v="2"/>
    <x v="7"/>
    <x v="199"/>
    <x v="243"/>
    <n v="13"/>
    <n v="0.53"/>
    <n v="1106.74"/>
  </r>
  <r>
    <s v="ORD-1244"/>
    <x v="244"/>
    <x v="244"/>
    <x v="1"/>
    <s v="CUST-7167"/>
    <s v="Customer 129"/>
    <x v="2"/>
    <s v="United States"/>
    <s v="Chicago"/>
    <x v="3"/>
    <n v="63280"/>
    <x v="1"/>
    <s v="PROD-7576"/>
    <x v="0"/>
    <x v="1"/>
    <x v="200"/>
    <x v="244"/>
    <n v="3"/>
    <n v="0.68"/>
    <n v="309.42"/>
  </r>
  <r>
    <s v="ORD-1245"/>
    <x v="245"/>
    <x v="245"/>
    <x v="1"/>
    <s v="CUST-5490"/>
    <s v="Customer 443"/>
    <x v="2"/>
    <s v="United States"/>
    <s v="Denver"/>
    <x v="1"/>
    <n v="44567"/>
    <x v="2"/>
    <s v="PROD-5634"/>
    <x v="1"/>
    <x v="3"/>
    <x v="201"/>
    <x v="245"/>
    <n v="2"/>
    <n v="0.12"/>
    <n v="823.62"/>
  </r>
  <r>
    <s v="ORD-1246"/>
    <x v="246"/>
    <x v="246"/>
    <x v="1"/>
    <s v="CUST-7112"/>
    <s v="Customer 140"/>
    <x v="1"/>
    <s v="United States"/>
    <s v="Miami"/>
    <x v="1"/>
    <n v="51722"/>
    <x v="0"/>
    <s v="PROD-4572"/>
    <x v="1"/>
    <x v="3"/>
    <x v="202"/>
    <x v="246"/>
    <n v="13"/>
    <n v="0.86"/>
    <n v="1305.7"/>
  </r>
  <r>
    <s v="ORD-1247"/>
    <x v="247"/>
    <x v="247"/>
    <x v="3"/>
    <s v="CUST-3214"/>
    <s v="Customer 29"/>
    <x v="1"/>
    <s v="United States"/>
    <s v="Houston"/>
    <x v="5"/>
    <n v="84414"/>
    <x v="2"/>
    <s v="PROD-9976"/>
    <x v="0"/>
    <x v="0"/>
    <x v="203"/>
    <x v="247"/>
    <n v="7"/>
    <n v="0.72"/>
    <n v="1332.92"/>
  </r>
  <r>
    <s v="ORD-1248"/>
    <x v="248"/>
    <x v="248"/>
    <x v="3"/>
    <s v="CUST-4111"/>
    <s v="Customer 52"/>
    <x v="1"/>
    <s v="United States"/>
    <s v="Dallas"/>
    <x v="2"/>
    <n v="79189"/>
    <x v="1"/>
    <s v="PROD-6688"/>
    <x v="1"/>
    <x v="10"/>
    <x v="204"/>
    <x v="248"/>
    <n v="4"/>
    <n v="0.09"/>
    <n v="-563.39"/>
  </r>
  <r>
    <s v="ORD-1249"/>
    <x v="249"/>
    <x v="249"/>
    <x v="3"/>
    <s v="CUST-4713"/>
    <s v="Customer 225"/>
    <x v="2"/>
    <s v="United States"/>
    <s v="Seattle"/>
    <x v="1"/>
    <n v="92213"/>
    <x v="2"/>
    <s v="PROD-4286"/>
    <x v="2"/>
    <x v="5"/>
    <x v="205"/>
    <x v="249"/>
    <n v="7"/>
    <n v="0.62"/>
    <n v="69.72"/>
  </r>
  <r>
    <s v="ORD-1250"/>
    <x v="250"/>
    <x v="250"/>
    <x v="2"/>
    <s v="CUST-9581"/>
    <s v="Customer 229"/>
    <x v="2"/>
    <s v="United States"/>
    <s v="New York"/>
    <x v="3"/>
    <n v="96362"/>
    <x v="0"/>
    <s v="PROD-7136"/>
    <x v="2"/>
    <x v="6"/>
    <x v="206"/>
    <x v="250"/>
    <n v="10"/>
    <n v="0.27"/>
    <n v="145.96"/>
  </r>
  <r>
    <s v="ORD-1251"/>
    <x v="251"/>
    <x v="251"/>
    <x v="0"/>
    <s v="CUST-6279"/>
    <s v="Customer 329"/>
    <x v="2"/>
    <s v="United States"/>
    <s v="Chicago"/>
    <x v="5"/>
    <n v="10036"/>
    <x v="2"/>
    <s v="PROD-3644"/>
    <x v="0"/>
    <x v="0"/>
    <x v="207"/>
    <x v="251"/>
    <n v="10"/>
    <n v="0.17"/>
    <n v="2649.7"/>
  </r>
  <r>
    <s v="ORD-1252"/>
    <x v="252"/>
    <x v="252"/>
    <x v="1"/>
    <s v="CUST-6404"/>
    <s v="Customer 157"/>
    <x v="2"/>
    <s v="United States"/>
    <s v="Phoenix"/>
    <x v="5"/>
    <n v="68272"/>
    <x v="0"/>
    <s v="PROD-3258"/>
    <x v="1"/>
    <x v="10"/>
    <x v="208"/>
    <x v="252"/>
    <n v="14"/>
    <n v="0.16"/>
    <n v="391"/>
  </r>
  <r>
    <s v="ORD-1253"/>
    <x v="253"/>
    <x v="253"/>
    <x v="1"/>
    <s v="CUST-5670"/>
    <s v="Customer 497"/>
    <x v="1"/>
    <s v="United States"/>
    <s v="Denver"/>
    <x v="7"/>
    <n v="69655"/>
    <x v="1"/>
    <s v="PROD-6639"/>
    <x v="0"/>
    <x v="9"/>
    <x v="209"/>
    <x v="253"/>
    <n v="8"/>
    <n v="0.54"/>
    <n v="24.66"/>
  </r>
  <r>
    <s v="ORD-1254"/>
    <x v="254"/>
    <x v="254"/>
    <x v="3"/>
    <s v="CUST-7319"/>
    <s v="Customer 405"/>
    <x v="0"/>
    <s v="United States"/>
    <s v="Chicago"/>
    <x v="0"/>
    <n v="58729"/>
    <x v="1"/>
    <s v="PROD-1774"/>
    <x v="0"/>
    <x v="8"/>
    <x v="111"/>
    <x v="254"/>
    <n v="10"/>
    <n v="0.89"/>
    <n v="761.24"/>
  </r>
  <r>
    <s v="ORD-1255"/>
    <x v="255"/>
    <x v="255"/>
    <x v="2"/>
    <s v="CUST-5747"/>
    <s v="Customer 360"/>
    <x v="1"/>
    <s v="United States"/>
    <s v="Denver"/>
    <x v="0"/>
    <n v="52036"/>
    <x v="0"/>
    <s v="PROD-1524"/>
    <x v="2"/>
    <x v="7"/>
    <x v="125"/>
    <x v="255"/>
    <n v="12"/>
    <n v="0.08"/>
    <n v="74.97"/>
  </r>
  <r>
    <s v="ORD-1256"/>
    <x v="256"/>
    <x v="256"/>
    <x v="3"/>
    <s v="CUST-6551"/>
    <s v="Customer 249"/>
    <x v="0"/>
    <s v="United States"/>
    <s v="New York"/>
    <x v="5"/>
    <n v="92909"/>
    <x v="3"/>
    <s v="PROD-3943"/>
    <x v="0"/>
    <x v="0"/>
    <x v="210"/>
    <x v="256"/>
    <n v="4"/>
    <n v="0.13"/>
    <n v="-240.16"/>
  </r>
  <r>
    <s v="ORD-1257"/>
    <x v="257"/>
    <x v="257"/>
    <x v="1"/>
    <s v="CUST-6683"/>
    <s v="Customer 126"/>
    <x v="2"/>
    <s v="United States"/>
    <s v="Houston"/>
    <x v="0"/>
    <n v="23353"/>
    <x v="0"/>
    <s v="PROD-7415"/>
    <x v="1"/>
    <x v="2"/>
    <x v="211"/>
    <x v="257"/>
    <n v="14"/>
    <n v="0.48"/>
    <n v="891.21"/>
  </r>
  <r>
    <s v="ORD-1258"/>
    <x v="258"/>
    <x v="258"/>
    <x v="2"/>
    <s v="CUST-9343"/>
    <s v="Customer 230"/>
    <x v="1"/>
    <s v="United States"/>
    <s v="Miami"/>
    <x v="5"/>
    <n v="68384"/>
    <x v="1"/>
    <s v="PROD-6953"/>
    <x v="0"/>
    <x v="9"/>
    <x v="95"/>
    <x v="258"/>
    <n v="5"/>
    <n v="7.0000000000000007E-2"/>
    <n v="618.54"/>
  </r>
  <r>
    <s v="ORD-1259"/>
    <x v="259"/>
    <x v="259"/>
    <x v="3"/>
    <s v="CUST-6445"/>
    <s v="Customer 372"/>
    <x v="1"/>
    <s v="United States"/>
    <s v="Denver"/>
    <x v="4"/>
    <n v="67811"/>
    <x v="2"/>
    <s v="PROD-8248"/>
    <x v="0"/>
    <x v="1"/>
    <x v="212"/>
    <x v="259"/>
    <n v="7"/>
    <n v="0.37"/>
    <n v="66.03"/>
  </r>
  <r>
    <s v="ORD-1260"/>
    <x v="260"/>
    <x v="260"/>
    <x v="1"/>
    <s v="CUST-3837"/>
    <s v="Customer 403"/>
    <x v="1"/>
    <s v="United States"/>
    <s v="Phoenix"/>
    <x v="6"/>
    <n v="77139"/>
    <x v="1"/>
    <s v="PROD-5154"/>
    <x v="1"/>
    <x v="2"/>
    <x v="213"/>
    <x v="260"/>
    <n v="3"/>
    <n v="0.44"/>
    <n v="-240.03"/>
  </r>
  <r>
    <s v="ORD-1261"/>
    <x v="261"/>
    <x v="261"/>
    <x v="1"/>
    <s v="CUST-8111"/>
    <s v="Customer 221"/>
    <x v="0"/>
    <s v="United States"/>
    <s v="Los Angeles"/>
    <x v="2"/>
    <n v="22152"/>
    <x v="1"/>
    <s v="PROD-8473"/>
    <x v="2"/>
    <x v="7"/>
    <x v="51"/>
    <x v="261"/>
    <n v="9"/>
    <n v="0.62"/>
    <n v="193.06"/>
  </r>
  <r>
    <s v="ORD-1262"/>
    <x v="262"/>
    <x v="262"/>
    <x v="1"/>
    <s v="CUST-7690"/>
    <s v="Customer 100"/>
    <x v="2"/>
    <s v="United States"/>
    <s v="Denver"/>
    <x v="0"/>
    <n v="16838"/>
    <x v="3"/>
    <s v="PROD-8756"/>
    <x v="2"/>
    <x v="6"/>
    <x v="81"/>
    <x v="262"/>
    <n v="4"/>
    <n v="0.1"/>
    <n v="355.48"/>
  </r>
  <r>
    <s v="ORD-1263"/>
    <x v="263"/>
    <x v="263"/>
    <x v="3"/>
    <s v="CUST-2797"/>
    <s v="Customer 448"/>
    <x v="2"/>
    <s v="United States"/>
    <s v="Houston"/>
    <x v="0"/>
    <n v="91818"/>
    <x v="0"/>
    <s v="PROD-5956"/>
    <x v="2"/>
    <x v="7"/>
    <x v="214"/>
    <x v="263"/>
    <n v="1"/>
    <n v="0.55000000000000004"/>
    <n v="-52.52"/>
  </r>
  <r>
    <s v="ORD-1264"/>
    <x v="264"/>
    <x v="264"/>
    <x v="1"/>
    <s v="CUST-6748"/>
    <s v="Customer 357"/>
    <x v="0"/>
    <s v="United States"/>
    <s v="Dallas"/>
    <x v="1"/>
    <n v="64722"/>
    <x v="0"/>
    <s v="PROD-1916"/>
    <x v="2"/>
    <x v="7"/>
    <x v="215"/>
    <x v="264"/>
    <n v="3"/>
    <n v="0.66"/>
    <n v="4.47"/>
  </r>
  <r>
    <s v="ORD-1265"/>
    <x v="265"/>
    <x v="265"/>
    <x v="2"/>
    <s v="CUST-4948"/>
    <s v="Customer 188"/>
    <x v="1"/>
    <s v="United States"/>
    <s v="New York"/>
    <x v="6"/>
    <n v="76149"/>
    <x v="3"/>
    <s v="PROD-9402"/>
    <x v="2"/>
    <x v="11"/>
    <x v="216"/>
    <x v="265"/>
    <n v="14"/>
    <n v="0.2"/>
    <n v="184.63"/>
  </r>
  <r>
    <s v="ORD-1266"/>
    <x v="266"/>
    <x v="266"/>
    <x v="0"/>
    <s v="CUST-6214"/>
    <s v="Customer 462"/>
    <x v="2"/>
    <s v="United States"/>
    <s v="Dallas"/>
    <x v="6"/>
    <n v="60734"/>
    <x v="2"/>
    <s v="PROD-6325"/>
    <x v="1"/>
    <x v="2"/>
    <x v="217"/>
    <x v="266"/>
    <n v="13"/>
    <n v="0.86"/>
    <n v="235.18"/>
  </r>
  <r>
    <s v="ORD-1267"/>
    <x v="267"/>
    <x v="267"/>
    <x v="1"/>
    <s v="CUST-9909"/>
    <s v="Customer 37"/>
    <x v="0"/>
    <s v="United States"/>
    <s v="New York"/>
    <x v="8"/>
    <n v="43635"/>
    <x v="1"/>
    <s v="PROD-2041"/>
    <x v="0"/>
    <x v="0"/>
    <x v="218"/>
    <x v="267"/>
    <n v="3"/>
    <n v="0.61"/>
    <n v="184.43"/>
  </r>
  <r>
    <s v="ORD-1268"/>
    <x v="268"/>
    <x v="268"/>
    <x v="1"/>
    <s v="CUST-4362"/>
    <s v="Customer 419"/>
    <x v="0"/>
    <s v="United States"/>
    <s v="Denver"/>
    <x v="3"/>
    <n v="50147"/>
    <x v="1"/>
    <s v="PROD-8992"/>
    <x v="2"/>
    <x v="5"/>
    <x v="219"/>
    <x v="268"/>
    <n v="13"/>
    <n v="0.84"/>
    <n v="58.92"/>
  </r>
  <r>
    <s v="ORD-1269"/>
    <x v="269"/>
    <x v="269"/>
    <x v="3"/>
    <s v="CUST-3025"/>
    <s v="Customer 237"/>
    <x v="2"/>
    <s v="United States"/>
    <s v="Los Angeles"/>
    <x v="6"/>
    <n v="52592"/>
    <x v="2"/>
    <s v="PROD-6782"/>
    <x v="2"/>
    <x v="7"/>
    <x v="220"/>
    <x v="269"/>
    <n v="7"/>
    <n v="0.44"/>
    <n v="-44.93"/>
  </r>
  <r>
    <s v="ORD-1270"/>
    <x v="270"/>
    <x v="270"/>
    <x v="3"/>
    <s v="CUST-5497"/>
    <s v="Customer 394"/>
    <x v="0"/>
    <s v="United States"/>
    <s v="Seattle"/>
    <x v="6"/>
    <n v="40958"/>
    <x v="3"/>
    <s v="PROD-1091"/>
    <x v="1"/>
    <x v="2"/>
    <x v="33"/>
    <x v="270"/>
    <n v="4"/>
    <n v="0.14000000000000001"/>
    <n v="-156.77000000000001"/>
  </r>
  <r>
    <s v="ORD-1271"/>
    <x v="271"/>
    <x v="271"/>
    <x v="0"/>
    <s v="CUST-5495"/>
    <s v="Customer 46"/>
    <x v="0"/>
    <s v="United States"/>
    <s v="Miami"/>
    <x v="1"/>
    <n v="67379"/>
    <x v="1"/>
    <s v="PROD-3380"/>
    <x v="2"/>
    <x v="6"/>
    <x v="221"/>
    <x v="271"/>
    <n v="8"/>
    <n v="0.77"/>
    <n v="42.33"/>
  </r>
  <r>
    <s v="ORD-1272"/>
    <x v="272"/>
    <x v="272"/>
    <x v="3"/>
    <s v="CUST-6200"/>
    <s v="Customer 151"/>
    <x v="2"/>
    <s v="United States"/>
    <s v="Los Angeles"/>
    <x v="3"/>
    <n v="59812"/>
    <x v="2"/>
    <s v="PROD-8789"/>
    <x v="1"/>
    <x v="2"/>
    <x v="152"/>
    <x v="272"/>
    <n v="7"/>
    <n v="0.61"/>
    <n v="-346.49"/>
  </r>
  <r>
    <s v="ORD-1273"/>
    <x v="273"/>
    <x v="273"/>
    <x v="1"/>
    <s v="CUST-8190"/>
    <s v="Customer 442"/>
    <x v="0"/>
    <s v="United States"/>
    <s v="Denver"/>
    <x v="6"/>
    <n v="80787"/>
    <x v="3"/>
    <s v="PROD-7673"/>
    <x v="1"/>
    <x v="10"/>
    <x v="74"/>
    <x v="273"/>
    <n v="13"/>
    <n v="0.53"/>
    <n v="-457.7"/>
  </r>
  <r>
    <s v="ORD-1274"/>
    <x v="274"/>
    <x v="274"/>
    <x v="0"/>
    <s v="CUST-2471"/>
    <s v="Customer 392"/>
    <x v="2"/>
    <s v="United States"/>
    <s v="Los Angeles"/>
    <x v="8"/>
    <n v="28579"/>
    <x v="0"/>
    <s v="PROD-5494"/>
    <x v="0"/>
    <x v="8"/>
    <x v="222"/>
    <x v="41"/>
    <n v="14"/>
    <n v="0.38"/>
    <n v="1622.38"/>
  </r>
  <r>
    <s v="ORD-1275"/>
    <x v="275"/>
    <x v="275"/>
    <x v="0"/>
    <s v="CUST-4087"/>
    <s v="Customer 336"/>
    <x v="0"/>
    <s v="United States"/>
    <s v="Seattle"/>
    <x v="8"/>
    <n v="78452"/>
    <x v="2"/>
    <s v="PROD-9378"/>
    <x v="1"/>
    <x v="4"/>
    <x v="223"/>
    <x v="274"/>
    <n v="11"/>
    <n v="0.15"/>
    <n v="369.33"/>
  </r>
  <r>
    <s v="ORD-1276"/>
    <x v="276"/>
    <x v="276"/>
    <x v="2"/>
    <s v="CUST-8736"/>
    <s v="Customer 1"/>
    <x v="2"/>
    <s v="United States"/>
    <s v="Denver"/>
    <x v="8"/>
    <n v="87144"/>
    <x v="2"/>
    <s v="PROD-3450"/>
    <x v="0"/>
    <x v="8"/>
    <x v="224"/>
    <x v="275"/>
    <n v="10"/>
    <n v="0.38"/>
    <n v="1586.65"/>
  </r>
  <r>
    <s v="ORD-1277"/>
    <x v="277"/>
    <x v="277"/>
    <x v="1"/>
    <s v="CUST-2952"/>
    <s v="Customer 124"/>
    <x v="0"/>
    <s v="United States"/>
    <s v="New York"/>
    <x v="2"/>
    <n v="23719"/>
    <x v="2"/>
    <s v="PROD-7425"/>
    <x v="2"/>
    <x v="6"/>
    <x v="225"/>
    <x v="276"/>
    <n v="2"/>
    <n v="0.22"/>
    <n v="-385.73"/>
  </r>
  <r>
    <s v="ORD-1278"/>
    <x v="278"/>
    <x v="278"/>
    <x v="2"/>
    <s v="CUST-9204"/>
    <s v="Customer 485"/>
    <x v="1"/>
    <s v="United States"/>
    <s v="Houston"/>
    <x v="6"/>
    <n v="90694"/>
    <x v="3"/>
    <s v="PROD-3965"/>
    <x v="2"/>
    <x v="6"/>
    <x v="102"/>
    <x v="277"/>
    <n v="8"/>
    <n v="0.75"/>
    <n v="1150.7"/>
  </r>
  <r>
    <s v="ORD-1279"/>
    <x v="279"/>
    <x v="279"/>
    <x v="1"/>
    <s v="CUST-6324"/>
    <s v="Customer 447"/>
    <x v="1"/>
    <s v="United States"/>
    <s v="Phoenix"/>
    <x v="1"/>
    <n v="41177"/>
    <x v="3"/>
    <s v="PROD-6538"/>
    <x v="1"/>
    <x v="2"/>
    <x v="226"/>
    <x v="278"/>
    <n v="1"/>
    <n v="0.41"/>
    <n v="322"/>
  </r>
  <r>
    <s v="ORD-1280"/>
    <x v="280"/>
    <x v="280"/>
    <x v="0"/>
    <s v="CUST-7137"/>
    <s v="Customer 335"/>
    <x v="1"/>
    <s v="United States"/>
    <s v="Los Angeles"/>
    <x v="6"/>
    <n v="33928"/>
    <x v="3"/>
    <s v="PROD-3221"/>
    <x v="1"/>
    <x v="4"/>
    <x v="227"/>
    <x v="279"/>
    <n v="1"/>
    <n v="0.67"/>
    <n v="131.77000000000001"/>
  </r>
  <r>
    <s v="ORD-1281"/>
    <x v="281"/>
    <x v="281"/>
    <x v="2"/>
    <s v="CUST-9788"/>
    <s v="Customer 170"/>
    <x v="2"/>
    <s v="United States"/>
    <s v="Los Angeles"/>
    <x v="6"/>
    <n v="10667"/>
    <x v="0"/>
    <s v="PROD-6897"/>
    <x v="2"/>
    <x v="7"/>
    <x v="175"/>
    <x v="280"/>
    <n v="2"/>
    <n v="0.87"/>
    <n v="364.21"/>
  </r>
  <r>
    <s v="ORD-1282"/>
    <x v="282"/>
    <x v="282"/>
    <x v="3"/>
    <s v="CUST-1672"/>
    <s v="Customer 304"/>
    <x v="0"/>
    <s v="United States"/>
    <s v="Los Angeles"/>
    <x v="0"/>
    <n v="73981"/>
    <x v="2"/>
    <s v="PROD-7588"/>
    <x v="0"/>
    <x v="9"/>
    <x v="228"/>
    <x v="281"/>
    <n v="11"/>
    <n v="0.79"/>
    <n v="64.61"/>
  </r>
  <r>
    <s v="ORD-1283"/>
    <x v="283"/>
    <x v="283"/>
    <x v="2"/>
    <s v="CUST-9102"/>
    <s v="Customer 428"/>
    <x v="1"/>
    <s v="United States"/>
    <s v="Seattle"/>
    <x v="3"/>
    <n v="81342"/>
    <x v="0"/>
    <s v="PROD-7258"/>
    <x v="2"/>
    <x v="7"/>
    <x v="106"/>
    <x v="282"/>
    <n v="12"/>
    <n v="0.55000000000000004"/>
    <n v="-69.489999999999995"/>
  </r>
  <r>
    <s v="ORD-1284"/>
    <x v="284"/>
    <x v="284"/>
    <x v="3"/>
    <s v="CUST-2610"/>
    <s v="Customer 115"/>
    <x v="2"/>
    <s v="United States"/>
    <s v="Seattle"/>
    <x v="3"/>
    <n v="85396"/>
    <x v="3"/>
    <s v="PROD-8033"/>
    <x v="1"/>
    <x v="4"/>
    <x v="229"/>
    <x v="283"/>
    <n v="5"/>
    <n v="0.66"/>
    <n v="936.14"/>
  </r>
  <r>
    <s v="ORD-1285"/>
    <x v="285"/>
    <x v="285"/>
    <x v="2"/>
    <s v="CUST-9179"/>
    <s v="Customer 414"/>
    <x v="1"/>
    <s v="United States"/>
    <s v="Houston"/>
    <x v="6"/>
    <n v="51335"/>
    <x v="0"/>
    <s v="PROD-2551"/>
    <x v="0"/>
    <x v="0"/>
    <x v="230"/>
    <x v="284"/>
    <n v="9"/>
    <n v="0.05"/>
    <n v="259.48"/>
  </r>
  <r>
    <s v="ORD-1286"/>
    <x v="286"/>
    <x v="286"/>
    <x v="1"/>
    <s v="CUST-8453"/>
    <s v="Customer 440"/>
    <x v="2"/>
    <s v="United States"/>
    <s v="Miami"/>
    <x v="8"/>
    <n v="29706"/>
    <x v="1"/>
    <s v="PROD-8010"/>
    <x v="1"/>
    <x v="10"/>
    <x v="231"/>
    <x v="285"/>
    <n v="10"/>
    <n v="0.82"/>
    <n v="-24.69"/>
  </r>
  <r>
    <s v="ORD-1287"/>
    <x v="287"/>
    <x v="287"/>
    <x v="1"/>
    <s v="CUST-9237"/>
    <s v="Customer 495"/>
    <x v="1"/>
    <s v="United States"/>
    <s v="Seattle"/>
    <x v="4"/>
    <n v="71396"/>
    <x v="3"/>
    <s v="PROD-4575"/>
    <x v="1"/>
    <x v="10"/>
    <x v="232"/>
    <x v="286"/>
    <n v="6"/>
    <n v="0.66"/>
    <n v="10.24"/>
  </r>
  <r>
    <s v="ORD-1288"/>
    <x v="288"/>
    <x v="288"/>
    <x v="0"/>
    <s v="CUST-8355"/>
    <s v="Customer 106"/>
    <x v="0"/>
    <s v="United States"/>
    <s v="Seattle"/>
    <x v="0"/>
    <n v="84481"/>
    <x v="1"/>
    <s v="PROD-7473"/>
    <x v="0"/>
    <x v="1"/>
    <x v="233"/>
    <x v="287"/>
    <n v="3"/>
    <n v="0.48"/>
    <n v="129.02000000000001"/>
  </r>
  <r>
    <s v="ORD-1289"/>
    <x v="289"/>
    <x v="289"/>
    <x v="2"/>
    <s v="CUST-5343"/>
    <s v="Customer 95"/>
    <x v="1"/>
    <s v="United States"/>
    <s v="New York"/>
    <x v="4"/>
    <n v="18396"/>
    <x v="0"/>
    <s v="PROD-8729"/>
    <x v="1"/>
    <x v="10"/>
    <x v="234"/>
    <x v="288"/>
    <n v="5"/>
    <n v="0.76"/>
    <n v="-185.31"/>
  </r>
  <r>
    <s v="ORD-1290"/>
    <x v="290"/>
    <x v="290"/>
    <x v="3"/>
    <s v="CUST-3564"/>
    <s v="Customer 261"/>
    <x v="2"/>
    <s v="United States"/>
    <s v="Miami"/>
    <x v="3"/>
    <n v="45170"/>
    <x v="1"/>
    <s v="PROD-7639"/>
    <x v="2"/>
    <x v="5"/>
    <x v="235"/>
    <x v="289"/>
    <n v="11"/>
    <n v="0.6"/>
    <n v="1721.38"/>
  </r>
  <r>
    <s v="ORD-1291"/>
    <x v="291"/>
    <x v="291"/>
    <x v="0"/>
    <s v="CUST-3959"/>
    <s v="Customer 490"/>
    <x v="2"/>
    <s v="United States"/>
    <s v="Seattle"/>
    <x v="7"/>
    <n v="87527"/>
    <x v="2"/>
    <s v="PROD-1795"/>
    <x v="1"/>
    <x v="2"/>
    <x v="60"/>
    <x v="290"/>
    <n v="11"/>
    <n v="0.08"/>
    <n v="1270.69"/>
  </r>
  <r>
    <s v="ORD-1292"/>
    <x v="292"/>
    <x v="292"/>
    <x v="0"/>
    <s v="CUST-9955"/>
    <s v="Customer 341"/>
    <x v="1"/>
    <s v="United States"/>
    <s v="Dallas"/>
    <x v="2"/>
    <n v="48553"/>
    <x v="1"/>
    <s v="PROD-6198"/>
    <x v="2"/>
    <x v="5"/>
    <x v="236"/>
    <x v="291"/>
    <n v="6"/>
    <n v="0.22"/>
    <n v="263.14999999999998"/>
  </r>
  <r>
    <s v="ORD-1293"/>
    <x v="293"/>
    <x v="293"/>
    <x v="0"/>
    <s v="CUST-3937"/>
    <s v="Customer 335"/>
    <x v="1"/>
    <s v="United States"/>
    <s v="Seattle"/>
    <x v="2"/>
    <n v="14279"/>
    <x v="3"/>
    <s v="PROD-8031"/>
    <x v="2"/>
    <x v="7"/>
    <x v="237"/>
    <x v="292"/>
    <n v="8"/>
    <n v="0.62"/>
    <n v="-31.03"/>
  </r>
  <r>
    <s v="ORD-1294"/>
    <x v="294"/>
    <x v="294"/>
    <x v="0"/>
    <s v="CUST-9419"/>
    <s v="Customer 463"/>
    <x v="1"/>
    <s v="United States"/>
    <s v="Los Angeles"/>
    <x v="8"/>
    <n v="74603"/>
    <x v="2"/>
    <s v="PROD-5270"/>
    <x v="1"/>
    <x v="4"/>
    <x v="118"/>
    <x v="293"/>
    <n v="4"/>
    <n v="0.37"/>
    <n v="806.16"/>
  </r>
  <r>
    <s v="ORD-1295"/>
    <x v="295"/>
    <x v="295"/>
    <x v="2"/>
    <s v="CUST-3537"/>
    <s v="Customer 355"/>
    <x v="2"/>
    <s v="United States"/>
    <s v="Denver"/>
    <x v="1"/>
    <n v="45283"/>
    <x v="3"/>
    <s v="PROD-1979"/>
    <x v="2"/>
    <x v="6"/>
    <x v="238"/>
    <x v="294"/>
    <n v="7"/>
    <n v="0.86"/>
    <n v="-134.16"/>
  </r>
  <r>
    <s v="ORD-1296"/>
    <x v="296"/>
    <x v="296"/>
    <x v="0"/>
    <s v="CUST-4838"/>
    <s v="Customer 40"/>
    <x v="2"/>
    <s v="United States"/>
    <s v="Seattle"/>
    <x v="8"/>
    <n v="91517"/>
    <x v="0"/>
    <s v="PROD-9254"/>
    <x v="0"/>
    <x v="1"/>
    <x v="239"/>
    <x v="295"/>
    <n v="13"/>
    <n v="0.31"/>
    <n v="-109.4"/>
  </r>
  <r>
    <s v="ORD-1297"/>
    <x v="297"/>
    <x v="297"/>
    <x v="1"/>
    <s v="CUST-5744"/>
    <s v="Customer 274"/>
    <x v="2"/>
    <s v="United States"/>
    <s v="New York"/>
    <x v="4"/>
    <n v="75863"/>
    <x v="3"/>
    <s v="PROD-7702"/>
    <x v="2"/>
    <x v="11"/>
    <x v="240"/>
    <x v="296"/>
    <n v="9"/>
    <n v="0.35"/>
    <n v="-81.17"/>
  </r>
  <r>
    <s v="ORD-1298"/>
    <x v="298"/>
    <x v="298"/>
    <x v="3"/>
    <s v="CUST-8900"/>
    <s v="Customer 58"/>
    <x v="1"/>
    <s v="United States"/>
    <s v="New York"/>
    <x v="0"/>
    <n v="48769"/>
    <x v="1"/>
    <s v="PROD-9040"/>
    <x v="1"/>
    <x v="4"/>
    <x v="74"/>
    <x v="297"/>
    <n v="4"/>
    <n v="0.16"/>
    <n v="1196.82"/>
  </r>
  <r>
    <s v="ORD-1299"/>
    <x v="299"/>
    <x v="299"/>
    <x v="0"/>
    <s v="CUST-2738"/>
    <s v="Customer 82"/>
    <x v="0"/>
    <s v="United States"/>
    <s v="Houston"/>
    <x v="6"/>
    <n v="47624"/>
    <x v="0"/>
    <s v="PROD-1366"/>
    <x v="0"/>
    <x v="0"/>
    <x v="127"/>
    <x v="298"/>
    <n v="10"/>
    <n v="0.6"/>
    <n v="310.12"/>
  </r>
  <r>
    <s v="ORD-1300"/>
    <x v="300"/>
    <x v="300"/>
    <x v="2"/>
    <s v="CUST-1652"/>
    <s v="Customer 260"/>
    <x v="2"/>
    <s v="United States"/>
    <s v="Denver"/>
    <x v="6"/>
    <n v="23007"/>
    <x v="3"/>
    <s v="PROD-1455"/>
    <x v="2"/>
    <x v="6"/>
    <x v="241"/>
    <x v="299"/>
    <n v="7"/>
    <n v="0.12"/>
    <n v="1495.7"/>
  </r>
  <r>
    <s v="ORD-1301"/>
    <x v="301"/>
    <x v="301"/>
    <x v="0"/>
    <s v="CUST-8351"/>
    <s v="Customer 292"/>
    <x v="0"/>
    <s v="United States"/>
    <s v="Los Angeles"/>
    <x v="4"/>
    <n v="64453"/>
    <x v="0"/>
    <s v="PROD-2499"/>
    <x v="2"/>
    <x v="6"/>
    <x v="242"/>
    <x v="300"/>
    <n v="3"/>
    <n v="0.1"/>
    <n v="-653.92999999999995"/>
  </r>
  <r>
    <s v="ORD-1302"/>
    <x v="302"/>
    <x v="302"/>
    <x v="3"/>
    <s v="CUST-1356"/>
    <s v="Customer 344"/>
    <x v="0"/>
    <s v="United States"/>
    <s v="New York"/>
    <x v="5"/>
    <n v="17079"/>
    <x v="0"/>
    <s v="PROD-5268"/>
    <x v="0"/>
    <x v="8"/>
    <x v="243"/>
    <x v="301"/>
    <n v="1"/>
    <n v="0.71"/>
    <n v="69.73"/>
  </r>
  <r>
    <s v="ORD-1303"/>
    <x v="303"/>
    <x v="303"/>
    <x v="0"/>
    <s v="CUST-6546"/>
    <s v="Customer 127"/>
    <x v="1"/>
    <s v="United States"/>
    <s v="Chicago"/>
    <x v="8"/>
    <n v="21443"/>
    <x v="3"/>
    <s v="PROD-6443"/>
    <x v="1"/>
    <x v="4"/>
    <x v="244"/>
    <x v="302"/>
    <n v="5"/>
    <n v="0.7"/>
    <n v="23.56"/>
  </r>
  <r>
    <s v="ORD-1304"/>
    <x v="304"/>
    <x v="304"/>
    <x v="3"/>
    <s v="CUST-1156"/>
    <s v="Customer 13"/>
    <x v="1"/>
    <s v="United States"/>
    <s v="Phoenix"/>
    <x v="6"/>
    <n v="33975"/>
    <x v="3"/>
    <s v="PROD-3270"/>
    <x v="1"/>
    <x v="3"/>
    <x v="245"/>
    <x v="303"/>
    <n v="14"/>
    <n v="0.33"/>
    <n v="-147.11000000000001"/>
  </r>
  <r>
    <s v="ORD-1305"/>
    <x v="305"/>
    <x v="305"/>
    <x v="2"/>
    <s v="CUST-2032"/>
    <s v="Customer 126"/>
    <x v="0"/>
    <s v="United States"/>
    <s v="Phoenix"/>
    <x v="8"/>
    <n v="11506"/>
    <x v="0"/>
    <s v="PROD-5399"/>
    <x v="0"/>
    <x v="1"/>
    <x v="246"/>
    <x v="304"/>
    <n v="2"/>
    <n v="0.47"/>
    <n v="-170.16"/>
  </r>
  <r>
    <s v="ORD-1306"/>
    <x v="306"/>
    <x v="306"/>
    <x v="2"/>
    <s v="CUST-2814"/>
    <s v="Customer 101"/>
    <x v="1"/>
    <s v="United States"/>
    <s v="New York"/>
    <x v="5"/>
    <n v="35300"/>
    <x v="2"/>
    <s v="PROD-8895"/>
    <x v="2"/>
    <x v="5"/>
    <x v="247"/>
    <x v="305"/>
    <n v="14"/>
    <n v="0.44"/>
    <n v="1381.1"/>
  </r>
  <r>
    <s v="ORD-1307"/>
    <x v="307"/>
    <x v="307"/>
    <x v="1"/>
    <s v="CUST-9442"/>
    <s v="Customer 320"/>
    <x v="2"/>
    <s v="United States"/>
    <s v="Dallas"/>
    <x v="3"/>
    <n v="44802"/>
    <x v="1"/>
    <s v="PROD-7974"/>
    <x v="0"/>
    <x v="0"/>
    <x v="248"/>
    <x v="306"/>
    <n v="6"/>
    <n v="0.59"/>
    <n v="383.69"/>
  </r>
  <r>
    <s v="ORD-1308"/>
    <x v="308"/>
    <x v="308"/>
    <x v="3"/>
    <s v="CUST-7102"/>
    <s v="Customer 144"/>
    <x v="0"/>
    <s v="United States"/>
    <s v="Houston"/>
    <x v="8"/>
    <n v="97694"/>
    <x v="2"/>
    <s v="PROD-7456"/>
    <x v="2"/>
    <x v="7"/>
    <x v="249"/>
    <x v="307"/>
    <n v="1"/>
    <n v="0.52"/>
    <n v="1102.04"/>
  </r>
  <r>
    <s v="ORD-1309"/>
    <x v="309"/>
    <x v="309"/>
    <x v="3"/>
    <s v="CUST-6336"/>
    <s v="Customer 327"/>
    <x v="1"/>
    <s v="United States"/>
    <s v="Seattle"/>
    <x v="6"/>
    <n v="92482"/>
    <x v="0"/>
    <s v="PROD-4733"/>
    <x v="1"/>
    <x v="3"/>
    <x v="233"/>
    <x v="308"/>
    <n v="3"/>
    <n v="0.48"/>
    <n v="1096.6400000000001"/>
  </r>
  <r>
    <s v="ORD-1310"/>
    <x v="310"/>
    <x v="310"/>
    <x v="1"/>
    <s v="CUST-2928"/>
    <s v="Customer 35"/>
    <x v="0"/>
    <s v="United States"/>
    <s v="Denver"/>
    <x v="7"/>
    <n v="58879"/>
    <x v="2"/>
    <s v="PROD-7534"/>
    <x v="1"/>
    <x v="4"/>
    <x v="250"/>
    <x v="309"/>
    <n v="8"/>
    <n v="0.21"/>
    <n v="10.23"/>
  </r>
  <r>
    <s v="ORD-1311"/>
    <x v="311"/>
    <x v="311"/>
    <x v="1"/>
    <s v="CUST-1362"/>
    <s v="Customer 466"/>
    <x v="2"/>
    <s v="United States"/>
    <s v="Houston"/>
    <x v="0"/>
    <n v="25789"/>
    <x v="1"/>
    <s v="PROD-1172"/>
    <x v="2"/>
    <x v="11"/>
    <x v="217"/>
    <x v="310"/>
    <n v="6"/>
    <n v="0.39"/>
    <n v="-128.56"/>
  </r>
  <r>
    <s v="ORD-1312"/>
    <x v="312"/>
    <x v="312"/>
    <x v="1"/>
    <s v="CUST-5724"/>
    <s v="Customer 14"/>
    <x v="2"/>
    <s v="United States"/>
    <s v="Houston"/>
    <x v="5"/>
    <n v="12387"/>
    <x v="3"/>
    <s v="PROD-8917"/>
    <x v="2"/>
    <x v="7"/>
    <x v="251"/>
    <x v="311"/>
    <n v="13"/>
    <n v="0.21"/>
    <n v="334.84"/>
  </r>
  <r>
    <s v="ORD-1313"/>
    <x v="313"/>
    <x v="313"/>
    <x v="2"/>
    <s v="CUST-1954"/>
    <s v="Customer 441"/>
    <x v="1"/>
    <s v="United States"/>
    <s v="Chicago"/>
    <x v="8"/>
    <n v="74716"/>
    <x v="0"/>
    <s v="PROD-8076"/>
    <x v="0"/>
    <x v="8"/>
    <x v="128"/>
    <x v="312"/>
    <n v="9"/>
    <n v="0.06"/>
    <n v="381.9"/>
  </r>
  <r>
    <s v="ORD-1314"/>
    <x v="314"/>
    <x v="314"/>
    <x v="3"/>
    <s v="CUST-6927"/>
    <s v="Customer 75"/>
    <x v="1"/>
    <s v="United States"/>
    <s v="New York"/>
    <x v="3"/>
    <n v="88632"/>
    <x v="1"/>
    <s v="PROD-9448"/>
    <x v="2"/>
    <x v="5"/>
    <x v="156"/>
    <x v="313"/>
    <n v="13"/>
    <n v="0.53"/>
    <n v="-79.84"/>
  </r>
  <r>
    <s v="ORD-1315"/>
    <x v="315"/>
    <x v="315"/>
    <x v="1"/>
    <s v="CUST-5665"/>
    <s v="Customer 438"/>
    <x v="0"/>
    <s v="United States"/>
    <s v="Phoenix"/>
    <x v="7"/>
    <n v="85978"/>
    <x v="1"/>
    <s v="PROD-2850"/>
    <x v="2"/>
    <x v="11"/>
    <x v="252"/>
    <x v="314"/>
    <n v="1"/>
    <n v="0.46"/>
    <n v="-268.97000000000003"/>
  </r>
  <r>
    <s v="ORD-1316"/>
    <x v="316"/>
    <x v="316"/>
    <x v="0"/>
    <s v="CUST-8495"/>
    <s v="Customer 183"/>
    <x v="2"/>
    <s v="United States"/>
    <s v="Seattle"/>
    <x v="6"/>
    <n v="33640"/>
    <x v="2"/>
    <s v="PROD-6662"/>
    <x v="0"/>
    <x v="1"/>
    <x v="253"/>
    <x v="315"/>
    <n v="1"/>
    <n v="0.03"/>
    <n v="17.489999999999998"/>
  </r>
  <r>
    <s v="ORD-1317"/>
    <x v="317"/>
    <x v="317"/>
    <x v="2"/>
    <s v="CUST-1873"/>
    <s v="Customer 219"/>
    <x v="2"/>
    <s v="United States"/>
    <s v="Seattle"/>
    <x v="0"/>
    <n v="68439"/>
    <x v="2"/>
    <s v="PROD-8304"/>
    <x v="2"/>
    <x v="6"/>
    <x v="163"/>
    <x v="316"/>
    <n v="3"/>
    <n v="0.84"/>
    <n v="463.26"/>
  </r>
  <r>
    <s v="ORD-1318"/>
    <x v="318"/>
    <x v="318"/>
    <x v="2"/>
    <s v="CUST-6852"/>
    <s v="Customer 130"/>
    <x v="2"/>
    <s v="United States"/>
    <s v="Seattle"/>
    <x v="0"/>
    <n v="66646"/>
    <x v="3"/>
    <s v="PROD-4707"/>
    <x v="1"/>
    <x v="10"/>
    <x v="254"/>
    <x v="317"/>
    <n v="7"/>
    <n v="0.5"/>
    <n v="-214.3"/>
  </r>
  <r>
    <s v="ORD-1319"/>
    <x v="319"/>
    <x v="319"/>
    <x v="0"/>
    <s v="CUST-9807"/>
    <s v="Customer 3"/>
    <x v="0"/>
    <s v="United States"/>
    <s v="Seattle"/>
    <x v="8"/>
    <n v="88243"/>
    <x v="1"/>
    <s v="PROD-8787"/>
    <x v="0"/>
    <x v="1"/>
    <x v="255"/>
    <x v="318"/>
    <n v="4"/>
    <n v="0.45"/>
    <n v="490.76"/>
  </r>
  <r>
    <s v="ORD-1320"/>
    <x v="320"/>
    <x v="320"/>
    <x v="3"/>
    <s v="CUST-3173"/>
    <s v="Customer 40"/>
    <x v="1"/>
    <s v="United States"/>
    <s v="Chicago"/>
    <x v="4"/>
    <n v="33558"/>
    <x v="1"/>
    <s v="PROD-6497"/>
    <x v="0"/>
    <x v="1"/>
    <x v="110"/>
    <x v="319"/>
    <n v="8"/>
    <n v="0.2"/>
    <n v="619.69000000000005"/>
  </r>
  <r>
    <s v="ORD-1321"/>
    <x v="321"/>
    <x v="321"/>
    <x v="2"/>
    <s v="CUST-7466"/>
    <s v="Customer 141"/>
    <x v="1"/>
    <s v="United States"/>
    <s v="New York"/>
    <x v="2"/>
    <n v="69345"/>
    <x v="2"/>
    <s v="PROD-4014"/>
    <x v="1"/>
    <x v="2"/>
    <x v="256"/>
    <x v="320"/>
    <n v="7"/>
    <n v="0.52"/>
    <n v="777.92"/>
  </r>
  <r>
    <s v="ORD-1322"/>
    <x v="322"/>
    <x v="322"/>
    <x v="3"/>
    <s v="CUST-5165"/>
    <s v="Customer 383"/>
    <x v="1"/>
    <s v="United States"/>
    <s v="Miami"/>
    <x v="2"/>
    <n v="42973"/>
    <x v="0"/>
    <s v="PROD-8705"/>
    <x v="0"/>
    <x v="8"/>
    <x v="257"/>
    <x v="321"/>
    <n v="5"/>
    <n v="0.56000000000000005"/>
    <n v="1177.4100000000001"/>
  </r>
  <r>
    <s v="ORD-1323"/>
    <x v="323"/>
    <x v="323"/>
    <x v="2"/>
    <s v="CUST-6809"/>
    <s v="Customer 158"/>
    <x v="1"/>
    <s v="United States"/>
    <s v="Miami"/>
    <x v="3"/>
    <n v="45527"/>
    <x v="3"/>
    <s v="PROD-7471"/>
    <x v="0"/>
    <x v="1"/>
    <x v="104"/>
    <x v="322"/>
    <n v="2"/>
    <n v="0.79"/>
    <n v="335.02"/>
  </r>
  <r>
    <s v="ORD-1324"/>
    <x v="324"/>
    <x v="324"/>
    <x v="0"/>
    <s v="CUST-5704"/>
    <s v="Customer 158"/>
    <x v="1"/>
    <s v="United States"/>
    <s v="Miami"/>
    <x v="2"/>
    <n v="80295"/>
    <x v="2"/>
    <s v="PROD-9405"/>
    <x v="1"/>
    <x v="2"/>
    <x v="258"/>
    <x v="323"/>
    <n v="5"/>
    <n v="0.34"/>
    <n v="1872.89"/>
  </r>
  <r>
    <s v="ORD-1325"/>
    <x v="325"/>
    <x v="325"/>
    <x v="3"/>
    <s v="CUST-2624"/>
    <s v="Customer 367"/>
    <x v="2"/>
    <s v="United States"/>
    <s v="Seattle"/>
    <x v="1"/>
    <n v="37983"/>
    <x v="1"/>
    <s v="PROD-9040"/>
    <x v="1"/>
    <x v="2"/>
    <x v="259"/>
    <x v="324"/>
    <n v="7"/>
    <n v="0.67"/>
    <n v="1388.83"/>
  </r>
  <r>
    <s v="ORD-1326"/>
    <x v="326"/>
    <x v="326"/>
    <x v="0"/>
    <s v="CUST-9678"/>
    <s v="Customer 218"/>
    <x v="1"/>
    <s v="United States"/>
    <s v="Seattle"/>
    <x v="0"/>
    <n v="39204"/>
    <x v="1"/>
    <s v="PROD-5917"/>
    <x v="0"/>
    <x v="9"/>
    <x v="67"/>
    <x v="325"/>
    <n v="5"/>
    <n v="0.5"/>
    <n v="1216.42"/>
  </r>
  <r>
    <s v="ORD-1327"/>
    <x v="327"/>
    <x v="327"/>
    <x v="0"/>
    <s v="CUST-7535"/>
    <s v="Customer 98"/>
    <x v="2"/>
    <s v="United States"/>
    <s v="Miami"/>
    <x v="1"/>
    <n v="63832"/>
    <x v="1"/>
    <s v="PROD-3015"/>
    <x v="0"/>
    <x v="8"/>
    <x v="260"/>
    <x v="326"/>
    <n v="8"/>
    <n v="0.51"/>
    <n v="321.33999999999997"/>
  </r>
  <r>
    <s v="ORD-1328"/>
    <x v="328"/>
    <x v="328"/>
    <x v="2"/>
    <s v="CUST-3142"/>
    <s v="Customer 130"/>
    <x v="0"/>
    <s v="United States"/>
    <s v="Houston"/>
    <x v="3"/>
    <n v="37638"/>
    <x v="3"/>
    <s v="PROD-9302"/>
    <x v="0"/>
    <x v="1"/>
    <x v="89"/>
    <x v="327"/>
    <n v="3"/>
    <n v="0.87"/>
    <n v="105.34"/>
  </r>
  <r>
    <s v="ORD-1329"/>
    <x v="329"/>
    <x v="329"/>
    <x v="1"/>
    <s v="CUST-3597"/>
    <s v="Customer 310"/>
    <x v="1"/>
    <s v="United States"/>
    <s v="Denver"/>
    <x v="1"/>
    <n v="97224"/>
    <x v="0"/>
    <s v="PROD-5352"/>
    <x v="1"/>
    <x v="2"/>
    <x v="111"/>
    <x v="328"/>
    <n v="10"/>
    <n v="0.09"/>
    <n v="1337.61"/>
  </r>
  <r>
    <s v="ORD-1330"/>
    <x v="330"/>
    <x v="330"/>
    <x v="3"/>
    <s v="CUST-3893"/>
    <s v="Customer 330"/>
    <x v="1"/>
    <s v="United States"/>
    <s v="Dallas"/>
    <x v="3"/>
    <n v="67391"/>
    <x v="2"/>
    <s v="PROD-5067"/>
    <x v="0"/>
    <x v="1"/>
    <x v="261"/>
    <x v="329"/>
    <n v="10"/>
    <n v="0.7"/>
    <n v="214.98"/>
  </r>
  <r>
    <s v="ORD-1331"/>
    <x v="331"/>
    <x v="331"/>
    <x v="3"/>
    <s v="CUST-4277"/>
    <s v="Customer 403"/>
    <x v="2"/>
    <s v="United States"/>
    <s v="Denver"/>
    <x v="6"/>
    <n v="66748"/>
    <x v="1"/>
    <s v="PROD-3938"/>
    <x v="1"/>
    <x v="2"/>
    <x v="262"/>
    <x v="330"/>
    <n v="12"/>
    <n v="0.61"/>
    <n v="-869.6"/>
  </r>
  <r>
    <s v="ORD-1332"/>
    <x v="332"/>
    <x v="332"/>
    <x v="1"/>
    <s v="CUST-1754"/>
    <s v="Customer 328"/>
    <x v="0"/>
    <s v="United States"/>
    <s v="Phoenix"/>
    <x v="4"/>
    <n v="35578"/>
    <x v="0"/>
    <s v="PROD-5033"/>
    <x v="1"/>
    <x v="10"/>
    <x v="263"/>
    <x v="331"/>
    <n v="8"/>
    <n v="0.79"/>
    <n v="533.42999999999995"/>
  </r>
  <r>
    <s v="ORD-1333"/>
    <x v="333"/>
    <x v="333"/>
    <x v="0"/>
    <s v="CUST-6556"/>
    <s v="Customer 302"/>
    <x v="2"/>
    <s v="United States"/>
    <s v="Seattle"/>
    <x v="2"/>
    <n v="39675"/>
    <x v="2"/>
    <s v="PROD-2171"/>
    <x v="1"/>
    <x v="4"/>
    <x v="72"/>
    <x v="332"/>
    <n v="8"/>
    <n v="0.01"/>
    <n v="1573.49"/>
  </r>
  <r>
    <s v="ORD-1334"/>
    <x v="334"/>
    <x v="334"/>
    <x v="2"/>
    <s v="CUST-6229"/>
    <s v="Customer 354"/>
    <x v="1"/>
    <s v="United States"/>
    <s v="Houston"/>
    <x v="6"/>
    <n v="22559"/>
    <x v="1"/>
    <s v="PROD-4096"/>
    <x v="0"/>
    <x v="9"/>
    <x v="45"/>
    <x v="333"/>
    <n v="2"/>
    <n v="0.52"/>
    <n v="148.19"/>
  </r>
  <r>
    <s v="ORD-1335"/>
    <x v="335"/>
    <x v="335"/>
    <x v="0"/>
    <s v="CUST-4327"/>
    <s v="Customer 112"/>
    <x v="0"/>
    <s v="United States"/>
    <s v="Chicago"/>
    <x v="3"/>
    <n v="12627"/>
    <x v="0"/>
    <s v="PROD-2959"/>
    <x v="2"/>
    <x v="5"/>
    <x v="129"/>
    <x v="334"/>
    <n v="9"/>
    <n v="0.24"/>
    <n v="241.89"/>
  </r>
  <r>
    <s v="ORD-1336"/>
    <x v="336"/>
    <x v="336"/>
    <x v="1"/>
    <s v="CUST-4258"/>
    <s v="Customer 378"/>
    <x v="2"/>
    <s v="United States"/>
    <s v="Miami"/>
    <x v="2"/>
    <n v="88963"/>
    <x v="3"/>
    <s v="PROD-9178"/>
    <x v="0"/>
    <x v="0"/>
    <x v="24"/>
    <x v="335"/>
    <n v="11"/>
    <n v="0.13"/>
    <n v="578.22"/>
  </r>
  <r>
    <s v="ORD-1337"/>
    <x v="337"/>
    <x v="337"/>
    <x v="3"/>
    <s v="CUST-1461"/>
    <s v="Customer 18"/>
    <x v="0"/>
    <s v="United States"/>
    <s v="Houston"/>
    <x v="2"/>
    <n v="82306"/>
    <x v="2"/>
    <s v="PROD-8831"/>
    <x v="1"/>
    <x v="2"/>
    <x v="264"/>
    <x v="336"/>
    <n v="4"/>
    <n v="0.33"/>
    <n v="134.46"/>
  </r>
  <r>
    <s v="ORD-1338"/>
    <x v="338"/>
    <x v="338"/>
    <x v="1"/>
    <s v="CUST-1126"/>
    <s v="Customer 90"/>
    <x v="0"/>
    <s v="United States"/>
    <s v="Houston"/>
    <x v="7"/>
    <n v="44554"/>
    <x v="2"/>
    <s v="PROD-8261"/>
    <x v="1"/>
    <x v="3"/>
    <x v="8"/>
    <x v="337"/>
    <n v="5"/>
    <n v="0.55000000000000004"/>
    <n v="-255.96"/>
  </r>
  <r>
    <s v="ORD-1339"/>
    <x v="339"/>
    <x v="339"/>
    <x v="3"/>
    <s v="CUST-8856"/>
    <s v="Customer 492"/>
    <x v="2"/>
    <s v="United States"/>
    <s v="Dallas"/>
    <x v="1"/>
    <n v="85771"/>
    <x v="1"/>
    <s v="PROD-9022"/>
    <x v="2"/>
    <x v="11"/>
    <x v="265"/>
    <x v="338"/>
    <n v="5"/>
    <n v="0.06"/>
    <n v="-43.76"/>
  </r>
  <r>
    <s v="ORD-1340"/>
    <x v="340"/>
    <x v="340"/>
    <x v="0"/>
    <s v="CUST-9341"/>
    <s v="Customer 68"/>
    <x v="2"/>
    <s v="United States"/>
    <s v="Seattle"/>
    <x v="7"/>
    <n v="36232"/>
    <x v="1"/>
    <s v="PROD-4978"/>
    <x v="2"/>
    <x v="11"/>
    <x v="266"/>
    <x v="339"/>
    <n v="3"/>
    <n v="0.87"/>
    <n v="379.93"/>
  </r>
  <r>
    <s v="ORD-1341"/>
    <x v="341"/>
    <x v="341"/>
    <x v="2"/>
    <s v="CUST-9951"/>
    <s v="Customer 37"/>
    <x v="1"/>
    <s v="United States"/>
    <s v="Los Angeles"/>
    <x v="0"/>
    <n v="55487"/>
    <x v="3"/>
    <s v="PROD-7659"/>
    <x v="1"/>
    <x v="3"/>
    <x v="251"/>
    <x v="340"/>
    <n v="4"/>
    <n v="0.63"/>
    <n v="-208.63"/>
  </r>
  <r>
    <s v="ORD-1342"/>
    <x v="342"/>
    <x v="342"/>
    <x v="0"/>
    <s v="CUST-2344"/>
    <s v="Customer 160"/>
    <x v="1"/>
    <s v="United States"/>
    <s v="Denver"/>
    <x v="7"/>
    <n v="34298"/>
    <x v="1"/>
    <s v="PROD-2878"/>
    <x v="0"/>
    <x v="1"/>
    <x v="27"/>
    <x v="341"/>
    <n v="9"/>
    <n v="0.75"/>
    <n v="2400.66"/>
  </r>
  <r>
    <s v="ORD-1343"/>
    <x v="343"/>
    <x v="343"/>
    <x v="3"/>
    <s v="CUST-9984"/>
    <s v="Customer 351"/>
    <x v="1"/>
    <s v="United States"/>
    <s v="Denver"/>
    <x v="0"/>
    <n v="83475"/>
    <x v="1"/>
    <s v="PROD-2975"/>
    <x v="2"/>
    <x v="6"/>
    <x v="190"/>
    <x v="342"/>
    <n v="1"/>
    <n v="0.84"/>
    <n v="1348.08"/>
  </r>
  <r>
    <s v="ORD-1344"/>
    <x v="344"/>
    <x v="344"/>
    <x v="1"/>
    <s v="CUST-7243"/>
    <s v="Customer 209"/>
    <x v="1"/>
    <s v="United States"/>
    <s v="Dallas"/>
    <x v="0"/>
    <n v="63741"/>
    <x v="2"/>
    <s v="PROD-9346"/>
    <x v="1"/>
    <x v="4"/>
    <x v="267"/>
    <x v="343"/>
    <n v="3"/>
    <n v="0.17"/>
    <n v="2009.78"/>
  </r>
  <r>
    <s v="ORD-1345"/>
    <x v="345"/>
    <x v="345"/>
    <x v="1"/>
    <s v="CUST-2529"/>
    <s v="Customer 260"/>
    <x v="1"/>
    <s v="United States"/>
    <s v="Houston"/>
    <x v="4"/>
    <n v="60613"/>
    <x v="1"/>
    <s v="PROD-9541"/>
    <x v="0"/>
    <x v="1"/>
    <x v="115"/>
    <x v="344"/>
    <n v="12"/>
    <n v="0.2"/>
    <n v="7.54"/>
  </r>
  <r>
    <s v="ORD-1346"/>
    <x v="346"/>
    <x v="346"/>
    <x v="0"/>
    <s v="CUST-6427"/>
    <s v="Customer 107"/>
    <x v="2"/>
    <s v="United States"/>
    <s v="New York"/>
    <x v="8"/>
    <n v="29125"/>
    <x v="1"/>
    <s v="PROD-6652"/>
    <x v="2"/>
    <x v="7"/>
    <x v="124"/>
    <x v="345"/>
    <n v="10"/>
    <n v="0.61"/>
    <n v="-216.46"/>
  </r>
  <r>
    <s v="ORD-1347"/>
    <x v="347"/>
    <x v="347"/>
    <x v="2"/>
    <s v="CUST-2229"/>
    <s v="Customer 5"/>
    <x v="2"/>
    <s v="United States"/>
    <s v="Seattle"/>
    <x v="2"/>
    <n v="82515"/>
    <x v="3"/>
    <s v="PROD-6678"/>
    <x v="0"/>
    <x v="9"/>
    <x v="210"/>
    <x v="346"/>
    <n v="12"/>
    <n v="0.49"/>
    <n v="100.32"/>
  </r>
  <r>
    <s v="ORD-1348"/>
    <x v="348"/>
    <x v="348"/>
    <x v="3"/>
    <s v="CUST-4525"/>
    <s v="Customer 171"/>
    <x v="1"/>
    <s v="United States"/>
    <s v="Seattle"/>
    <x v="5"/>
    <n v="39551"/>
    <x v="0"/>
    <s v="PROD-6396"/>
    <x v="2"/>
    <x v="6"/>
    <x v="268"/>
    <x v="347"/>
    <n v="3"/>
    <n v="0.74"/>
    <n v="139.22999999999999"/>
  </r>
  <r>
    <s v="ORD-1349"/>
    <x v="349"/>
    <x v="349"/>
    <x v="2"/>
    <s v="CUST-3678"/>
    <s v="Customer 389"/>
    <x v="2"/>
    <s v="United States"/>
    <s v="Denver"/>
    <x v="6"/>
    <n v="64821"/>
    <x v="0"/>
    <s v="PROD-6050"/>
    <x v="0"/>
    <x v="8"/>
    <x v="269"/>
    <x v="348"/>
    <n v="12"/>
    <n v="0.84"/>
    <n v="-162.85"/>
  </r>
  <r>
    <s v="ORD-1350"/>
    <x v="350"/>
    <x v="350"/>
    <x v="0"/>
    <s v="CUST-5512"/>
    <s v="Customer 356"/>
    <x v="1"/>
    <s v="United States"/>
    <s v="Miami"/>
    <x v="1"/>
    <n v="28984"/>
    <x v="2"/>
    <s v="PROD-4139"/>
    <x v="2"/>
    <x v="5"/>
    <x v="99"/>
    <x v="349"/>
    <n v="5"/>
    <n v="0.65"/>
    <n v="332.87"/>
  </r>
  <r>
    <s v="ORD-1351"/>
    <x v="351"/>
    <x v="351"/>
    <x v="2"/>
    <s v="CUST-7224"/>
    <s v="Customer 318"/>
    <x v="0"/>
    <s v="United States"/>
    <s v="Chicago"/>
    <x v="5"/>
    <n v="36386"/>
    <x v="3"/>
    <s v="PROD-1255"/>
    <x v="2"/>
    <x v="5"/>
    <x v="270"/>
    <x v="350"/>
    <n v="14"/>
    <n v="0.86"/>
    <n v="2067.4899999999998"/>
  </r>
  <r>
    <s v="ORD-1352"/>
    <x v="352"/>
    <x v="352"/>
    <x v="2"/>
    <s v="CUST-1078"/>
    <s v="Customer 21"/>
    <x v="1"/>
    <s v="United States"/>
    <s v="New York"/>
    <x v="8"/>
    <n v="81281"/>
    <x v="1"/>
    <s v="PROD-4319"/>
    <x v="1"/>
    <x v="10"/>
    <x v="271"/>
    <x v="351"/>
    <n v="9"/>
    <n v="0.43"/>
    <n v="1256.96"/>
  </r>
  <r>
    <s v="ORD-1353"/>
    <x v="353"/>
    <x v="353"/>
    <x v="0"/>
    <s v="CUST-4916"/>
    <s v="Customer 317"/>
    <x v="2"/>
    <s v="United States"/>
    <s v="New York"/>
    <x v="0"/>
    <n v="48924"/>
    <x v="0"/>
    <s v="PROD-7043"/>
    <x v="0"/>
    <x v="1"/>
    <x v="42"/>
    <x v="352"/>
    <n v="10"/>
    <n v="0.64"/>
    <n v="29.38"/>
  </r>
  <r>
    <s v="ORD-1354"/>
    <x v="354"/>
    <x v="354"/>
    <x v="2"/>
    <s v="CUST-3341"/>
    <s v="Customer 488"/>
    <x v="1"/>
    <s v="United States"/>
    <s v="Dallas"/>
    <x v="2"/>
    <n v="92629"/>
    <x v="2"/>
    <s v="PROD-2019"/>
    <x v="1"/>
    <x v="10"/>
    <x v="272"/>
    <x v="353"/>
    <n v="2"/>
    <n v="0.42"/>
    <n v="784.57"/>
  </r>
  <r>
    <s v="ORD-1355"/>
    <x v="355"/>
    <x v="355"/>
    <x v="1"/>
    <s v="CUST-2375"/>
    <s v="Customer 183"/>
    <x v="1"/>
    <s v="United States"/>
    <s v="Miami"/>
    <x v="2"/>
    <n v="73718"/>
    <x v="3"/>
    <s v="PROD-1678"/>
    <x v="1"/>
    <x v="2"/>
    <x v="273"/>
    <x v="354"/>
    <n v="11"/>
    <n v="0.27"/>
    <n v="631.53"/>
  </r>
  <r>
    <s v="ORD-1356"/>
    <x v="356"/>
    <x v="356"/>
    <x v="0"/>
    <s v="CUST-6056"/>
    <s v="Customer 375"/>
    <x v="0"/>
    <s v="United States"/>
    <s v="Dallas"/>
    <x v="4"/>
    <n v="61079"/>
    <x v="1"/>
    <s v="PROD-3460"/>
    <x v="1"/>
    <x v="10"/>
    <x v="244"/>
    <x v="355"/>
    <n v="1"/>
    <n v="0.64"/>
    <n v="935.57"/>
  </r>
  <r>
    <s v="ORD-1357"/>
    <x v="357"/>
    <x v="357"/>
    <x v="1"/>
    <s v="CUST-3563"/>
    <s v="Customer 157"/>
    <x v="2"/>
    <s v="United States"/>
    <s v="New York"/>
    <x v="0"/>
    <n v="55419"/>
    <x v="1"/>
    <s v="PROD-2608"/>
    <x v="1"/>
    <x v="4"/>
    <x v="18"/>
    <x v="356"/>
    <n v="1"/>
    <n v="0.8"/>
    <n v="96.19"/>
  </r>
  <r>
    <s v="ORD-1358"/>
    <x v="358"/>
    <x v="358"/>
    <x v="0"/>
    <s v="CUST-6400"/>
    <s v="Customer 167"/>
    <x v="2"/>
    <s v="United States"/>
    <s v="Phoenix"/>
    <x v="5"/>
    <n v="43655"/>
    <x v="0"/>
    <s v="PROD-1298"/>
    <x v="1"/>
    <x v="2"/>
    <x v="274"/>
    <x v="357"/>
    <n v="9"/>
    <n v="0.08"/>
    <n v="90.67"/>
  </r>
  <r>
    <s v="ORD-1359"/>
    <x v="359"/>
    <x v="359"/>
    <x v="1"/>
    <s v="CUST-4426"/>
    <s v="Customer 166"/>
    <x v="1"/>
    <s v="United States"/>
    <s v="Chicago"/>
    <x v="0"/>
    <n v="55344"/>
    <x v="2"/>
    <s v="PROD-5753"/>
    <x v="2"/>
    <x v="7"/>
    <x v="180"/>
    <x v="358"/>
    <n v="7"/>
    <n v="0.53"/>
    <n v="-227.8"/>
  </r>
  <r>
    <s v="ORD-1360"/>
    <x v="360"/>
    <x v="360"/>
    <x v="1"/>
    <s v="CUST-7187"/>
    <s v="Customer 55"/>
    <x v="0"/>
    <s v="United States"/>
    <s v="Dallas"/>
    <x v="3"/>
    <n v="70018"/>
    <x v="0"/>
    <s v="PROD-6327"/>
    <x v="1"/>
    <x v="3"/>
    <x v="275"/>
    <x v="359"/>
    <n v="12"/>
    <n v="0.19"/>
    <n v="-178.54"/>
  </r>
  <r>
    <s v="ORD-1361"/>
    <x v="361"/>
    <x v="361"/>
    <x v="3"/>
    <s v="CUST-5067"/>
    <s v="Customer 253"/>
    <x v="0"/>
    <s v="United States"/>
    <s v="Los Angeles"/>
    <x v="5"/>
    <n v="18385"/>
    <x v="3"/>
    <s v="PROD-6964"/>
    <x v="2"/>
    <x v="5"/>
    <x v="44"/>
    <x v="360"/>
    <n v="5"/>
    <n v="0.79"/>
    <n v="2379.38"/>
  </r>
  <r>
    <s v="ORD-1362"/>
    <x v="362"/>
    <x v="362"/>
    <x v="3"/>
    <s v="CUST-2198"/>
    <s v="Customer 222"/>
    <x v="2"/>
    <s v="United States"/>
    <s v="Phoenix"/>
    <x v="1"/>
    <n v="12563"/>
    <x v="0"/>
    <s v="PROD-5385"/>
    <x v="1"/>
    <x v="4"/>
    <x v="276"/>
    <x v="361"/>
    <n v="8"/>
    <n v="0.33"/>
    <n v="1085.1199999999999"/>
  </r>
  <r>
    <s v="ORD-1363"/>
    <x v="363"/>
    <x v="363"/>
    <x v="2"/>
    <s v="CUST-9997"/>
    <s v="Customer 92"/>
    <x v="2"/>
    <s v="United States"/>
    <s v="Denver"/>
    <x v="1"/>
    <n v="96956"/>
    <x v="2"/>
    <s v="PROD-6915"/>
    <x v="0"/>
    <x v="9"/>
    <x v="277"/>
    <x v="362"/>
    <n v="8"/>
    <n v="0.66"/>
    <n v="72.36"/>
  </r>
  <r>
    <s v="ORD-1364"/>
    <x v="364"/>
    <x v="364"/>
    <x v="1"/>
    <s v="CUST-8547"/>
    <s v="Customer 361"/>
    <x v="2"/>
    <s v="United States"/>
    <s v="Phoenix"/>
    <x v="7"/>
    <n v="86077"/>
    <x v="2"/>
    <s v="PROD-2112"/>
    <x v="0"/>
    <x v="9"/>
    <x v="278"/>
    <x v="363"/>
    <n v="11"/>
    <n v="0.56000000000000005"/>
    <n v="51.02"/>
  </r>
  <r>
    <s v="ORD-1365"/>
    <x v="365"/>
    <x v="365"/>
    <x v="1"/>
    <s v="CUST-9938"/>
    <s v="Customer 455"/>
    <x v="1"/>
    <s v="United States"/>
    <s v="Los Angeles"/>
    <x v="6"/>
    <n v="50485"/>
    <x v="1"/>
    <s v="PROD-3393"/>
    <x v="1"/>
    <x v="3"/>
    <x v="279"/>
    <x v="364"/>
    <n v="14"/>
    <n v="0.22"/>
    <n v="-738.35"/>
  </r>
  <r>
    <s v="ORD-1366"/>
    <x v="366"/>
    <x v="366"/>
    <x v="2"/>
    <s v="CUST-6974"/>
    <s v="Customer 174"/>
    <x v="2"/>
    <s v="United States"/>
    <s v="Phoenix"/>
    <x v="3"/>
    <n v="64575"/>
    <x v="1"/>
    <s v="PROD-2283"/>
    <x v="1"/>
    <x v="3"/>
    <x v="280"/>
    <x v="365"/>
    <n v="3"/>
    <n v="0.15"/>
    <n v="-271.64999999999998"/>
  </r>
  <r>
    <s v="ORD-1367"/>
    <x v="367"/>
    <x v="367"/>
    <x v="1"/>
    <s v="CUST-3223"/>
    <s v="Customer 322"/>
    <x v="1"/>
    <s v="United States"/>
    <s v="Miami"/>
    <x v="4"/>
    <n v="40316"/>
    <x v="3"/>
    <s v="PROD-2609"/>
    <x v="0"/>
    <x v="8"/>
    <x v="281"/>
    <x v="366"/>
    <n v="12"/>
    <n v="0.53"/>
    <n v="601.94000000000005"/>
  </r>
  <r>
    <s v="ORD-1368"/>
    <x v="368"/>
    <x v="368"/>
    <x v="0"/>
    <s v="CUST-7489"/>
    <s v="Customer 209"/>
    <x v="1"/>
    <s v="United States"/>
    <s v="New York"/>
    <x v="0"/>
    <n v="73907"/>
    <x v="0"/>
    <s v="PROD-2626"/>
    <x v="2"/>
    <x v="11"/>
    <x v="282"/>
    <x v="367"/>
    <n v="7"/>
    <n v="0.79"/>
    <n v="196.47"/>
  </r>
  <r>
    <s v="ORD-1369"/>
    <x v="369"/>
    <x v="369"/>
    <x v="2"/>
    <s v="CUST-5466"/>
    <s v="Customer 161"/>
    <x v="2"/>
    <s v="United States"/>
    <s v="Chicago"/>
    <x v="2"/>
    <n v="75471"/>
    <x v="3"/>
    <s v="PROD-8200"/>
    <x v="2"/>
    <x v="6"/>
    <x v="188"/>
    <x v="368"/>
    <n v="5"/>
    <n v="0.17"/>
    <n v="246.05"/>
  </r>
  <r>
    <s v="ORD-1370"/>
    <x v="370"/>
    <x v="370"/>
    <x v="2"/>
    <s v="CUST-1239"/>
    <s v="Customer 356"/>
    <x v="2"/>
    <s v="United States"/>
    <s v="Chicago"/>
    <x v="2"/>
    <n v="80876"/>
    <x v="1"/>
    <s v="PROD-2331"/>
    <x v="0"/>
    <x v="9"/>
    <x v="283"/>
    <x v="369"/>
    <n v="5"/>
    <n v="0.5"/>
    <n v="817.8"/>
  </r>
  <r>
    <s v="ORD-1371"/>
    <x v="371"/>
    <x v="371"/>
    <x v="3"/>
    <s v="CUST-9624"/>
    <s v="Customer 496"/>
    <x v="0"/>
    <s v="United States"/>
    <s v="Chicago"/>
    <x v="7"/>
    <n v="49079"/>
    <x v="3"/>
    <s v="PROD-1042"/>
    <x v="1"/>
    <x v="2"/>
    <x v="284"/>
    <x v="370"/>
    <n v="5"/>
    <n v="0.22"/>
    <n v="106.07"/>
  </r>
  <r>
    <s v="ORD-1372"/>
    <x v="372"/>
    <x v="372"/>
    <x v="0"/>
    <s v="CUST-8416"/>
    <s v="Customer 308"/>
    <x v="2"/>
    <s v="United States"/>
    <s v="Houston"/>
    <x v="7"/>
    <n v="13189"/>
    <x v="2"/>
    <s v="PROD-8302"/>
    <x v="1"/>
    <x v="10"/>
    <x v="285"/>
    <x v="371"/>
    <n v="1"/>
    <n v="0.06"/>
    <n v="-12.69"/>
  </r>
  <r>
    <s v="ORD-1373"/>
    <x v="373"/>
    <x v="373"/>
    <x v="1"/>
    <s v="CUST-3005"/>
    <s v="Customer 2"/>
    <x v="0"/>
    <s v="United States"/>
    <s v="Denver"/>
    <x v="3"/>
    <n v="52916"/>
    <x v="3"/>
    <s v="PROD-1517"/>
    <x v="0"/>
    <x v="8"/>
    <x v="114"/>
    <x v="372"/>
    <n v="3"/>
    <n v="0.11"/>
    <n v="787.08"/>
  </r>
  <r>
    <s v="ORD-1374"/>
    <x v="374"/>
    <x v="374"/>
    <x v="3"/>
    <s v="CUST-2039"/>
    <s v="Customer 73"/>
    <x v="1"/>
    <s v="United States"/>
    <s v="Miami"/>
    <x v="2"/>
    <n v="59032"/>
    <x v="2"/>
    <s v="PROD-8294"/>
    <x v="1"/>
    <x v="10"/>
    <x v="24"/>
    <x v="373"/>
    <n v="8"/>
    <n v="0.44"/>
    <n v="1012.45"/>
  </r>
  <r>
    <s v="ORD-1375"/>
    <x v="375"/>
    <x v="375"/>
    <x v="3"/>
    <s v="CUST-3192"/>
    <s v="Customer 267"/>
    <x v="0"/>
    <s v="United States"/>
    <s v="Phoenix"/>
    <x v="1"/>
    <n v="34254"/>
    <x v="0"/>
    <s v="PROD-6865"/>
    <x v="0"/>
    <x v="1"/>
    <x v="286"/>
    <x v="374"/>
    <n v="10"/>
    <n v="0.65"/>
    <n v="2.63"/>
  </r>
  <r>
    <s v="ORD-1376"/>
    <x v="376"/>
    <x v="376"/>
    <x v="1"/>
    <s v="CUST-9534"/>
    <s v="Customer 311"/>
    <x v="1"/>
    <s v="United States"/>
    <s v="Denver"/>
    <x v="5"/>
    <n v="12407"/>
    <x v="3"/>
    <s v="PROD-5048"/>
    <x v="0"/>
    <x v="9"/>
    <x v="287"/>
    <x v="375"/>
    <n v="5"/>
    <n v="7.0000000000000007E-2"/>
    <n v="-3.85"/>
  </r>
  <r>
    <s v="ORD-1377"/>
    <x v="377"/>
    <x v="377"/>
    <x v="3"/>
    <s v="CUST-5723"/>
    <s v="Customer 309"/>
    <x v="1"/>
    <s v="United States"/>
    <s v="Chicago"/>
    <x v="3"/>
    <n v="69365"/>
    <x v="1"/>
    <s v="PROD-4511"/>
    <x v="2"/>
    <x v="11"/>
    <x v="271"/>
    <x v="376"/>
    <n v="13"/>
    <n v="0.46"/>
    <n v="-8.0399999999999991"/>
  </r>
  <r>
    <s v="ORD-1378"/>
    <x v="378"/>
    <x v="378"/>
    <x v="0"/>
    <s v="CUST-5021"/>
    <s v="Customer 14"/>
    <x v="2"/>
    <s v="United States"/>
    <s v="New York"/>
    <x v="6"/>
    <n v="77061"/>
    <x v="3"/>
    <s v="PROD-9151"/>
    <x v="0"/>
    <x v="0"/>
    <x v="186"/>
    <x v="377"/>
    <n v="6"/>
    <n v="0.73"/>
    <n v="1438.08"/>
  </r>
  <r>
    <s v="ORD-1379"/>
    <x v="379"/>
    <x v="379"/>
    <x v="0"/>
    <s v="CUST-8100"/>
    <s v="Customer 357"/>
    <x v="1"/>
    <s v="United States"/>
    <s v="Phoenix"/>
    <x v="3"/>
    <n v="59391"/>
    <x v="0"/>
    <s v="PROD-6198"/>
    <x v="0"/>
    <x v="8"/>
    <x v="136"/>
    <x v="378"/>
    <n v="8"/>
    <n v="0.47"/>
    <n v="210.67"/>
  </r>
  <r>
    <s v="ORD-1380"/>
    <x v="380"/>
    <x v="380"/>
    <x v="2"/>
    <s v="CUST-2629"/>
    <s v="Customer 143"/>
    <x v="1"/>
    <s v="United States"/>
    <s v="Dallas"/>
    <x v="4"/>
    <n v="58729"/>
    <x v="1"/>
    <s v="PROD-3391"/>
    <x v="2"/>
    <x v="7"/>
    <x v="288"/>
    <x v="379"/>
    <n v="4"/>
    <n v="0.24"/>
    <n v="-613.96"/>
  </r>
  <r>
    <s v="ORD-1381"/>
    <x v="381"/>
    <x v="381"/>
    <x v="2"/>
    <s v="CUST-3708"/>
    <s v="Customer 92"/>
    <x v="1"/>
    <s v="United States"/>
    <s v="Dallas"/>
    <x v="3"/>
    <n v="59332"/>
    <x v="1"/>
    <s v="PROD-9513"/>
    <x v="0"/>
    <x v="9"/>
    <x v="289"/>
    <x v="380"/>
    <n v="2"/>
    <n v="0.76"/>
    <n v="-132.16"/>
  </r>
  <r>
    <s v="ORD-1382"/>
    <x v="382"/>
    <x v="382"/>
    <x v="1"/>
    <s v="CUST-9458"/>
    <s v="Customer 177"/>
    <x v="0"/>
    <s v="United States"/>
    <s v="Seattle"/>
    <x v="0"/>
    <n v="83470"/>
    <x v="2"/>
    <s v="PROD-2675"/>
    <x v="0"/>
    <x v="0"/>
    <x v="290"/>
    <x v="381"/>
    <n v="12"/>
    <n v="0.06"/>
    <n v="-575.84"/>
  </r>
  <r>
    <s v="ORD-1383"/>
    <x v="383"/>
    <x v="383"/>
    <x v="3"/>
    <s v="CUST-7974"/>
    <s v="Customer 51"/>
    <x v="0"/>
    <s v="United States"/>
    <s v="Los Angeles"/>
    <x v="2"/>
    <n v="15944"/>
    <x v="1"/>
    <s v="PROD-4234"/>
    <x v="0"/>
    <x v="0"/>
    <x v="291"/>
    <x v="382"/>
    <n v="4"/>
    <n v="0"/>
    <n v="-69.97"/>
  </r>
  <r>
    <s v="ORD-1384"/>
    <x v="384"/>
    <x v="384"/>
    <x v="3"/>
    <s v="CUST-6070"/>
    <s v="Customer 159"/>
    <x v="2"/>
    <s v="United States"/>
    <s v="Phoenix"/>
    <x v="5"/>
    <n v="46109"/>
    <x v="2"/>
    <s v="PROD-4262"/>
    <x v="1"/>
    <x v="10"/>
    <x v="292"/>
    <x v="383"/>
    <n v="10"/>
    <n v="0.6"/>
    <n v="523.41"/>
  </r>
  <r>
    <s v="ORD-1385"/>
    <x v="385"/>
    <x v="385"/>
    <x v="1"/>
    <s v="CUST-4549"/>
    <s v="Customer 192"/>
    <x v="1"/>
    <s v="United States"/>
    <s v="Los Angeles"/>
    <x v="0"/>
    <n v="89756"/>
    <x v="2"/>
    <s v="PROD-1677"/>
    <x v="0"/>
    <x v="9"/>
    <x v="293"/>
    <x v="384"/>
    <n v="6"/>
    <n v="0.21"/>
    <n v="39.07"/>
  </r>
  <r>
    <s v="ORD-1386"/>
    <x v="386"/>
    <x v="386"/>
    <x v="3"/>
    <s v="CUST-5794"/>
    <s v="Customer 422"/>
    <x v="0"/>
    <s v="United States"/>
    <s v="Los Angeles"/>
    <x v="4"/>
    <n v="14984"/>
    <x v="3"/>
    <s v="PROD-3647"/>
    <x v="2"/>
    <x v="7"/>
    <x v="129"/>
    <x v="385"/>
    <n v="9"/>
    <n v="0.7"/>
    <n v="-198.31"/>
  </r>
  <r>
    <s v="ORD-1387"/>
    <x v="387"/>
    <x v="387"/>
    <x v="0"/>
    <s v="CUST-9506"/>
    <s v="Customer 227"/>
    <x v="0"/>
    <s v="United States"/>
    <s v="Chicago"/>
    <x v="3"/>
    <n v="17176"/>
    <x v="1"/>
    <s v="PROD-3528"/>
    <x v="1"/>
    <x v="3"/>
    <x v="92"/>
    <x v="386"/>
    <n v="5"/>
    <n v="0.44"/>
    <n v="1830.87"/>
  </r>
  <r>
    <s v="ORD-1388"/>
    <x v="388"/>
    <x v="388"/>
    <x v="0"/>
    <s v="CUST-4523"/>
    <s v="Customer 358"/>
    <x v="2"/>
    <s v="United States"/>
    <s v="Chicago"/>
    <x v="4"/>
    <n v="37878"/>
    <x v="3"/>
    <s v="PROD-1349"/>
    <x v="0"/>
    <x v="0"/>
    <x v="164"/>
    <x v="387"/>
    <n v="14"/>
    <n v="0.51"/>
    <n v="1193.1400000000001"/>
  </r>
  <r>
    <s v="ORD-1389"/>
    <x v="389"/>
    <x v="389"/>
    <x v="2"/>
    <s v="CUST-6947"/>
    <s v="Customer 85"/>
    <x v="2"/>
    <s v="United States"/>
    <s v="Seattle"/>
    <x v="5"/>
    <n v="91645"/>
    <x v="2"/>
    <s v="PROD-3103"/>
    <x v="0"/>
    <x v="0"/>
    <x v="294"/>
    <x v="388"/>
    <n v="1"/>
    <n v="0.2"/>
    <n v="80.599999999999994"/>
  </r>
  <r>
    <s v="ORD-1390"/>
    <x v="390"/>
    <x v="390"/>
    <x v="0"/>
    <s v="CUST-7020"/>
    <s v="Customer 341"/>
    <x v="0"/>
    <s v="United States"/>
    <s v="Seattle"/>
    <x v="2"/>
    <n v="43853"/>
    <x v="2"/>
    <s v="PROD-9908"/>
    <x v="1"/>
    <x v="2"/>
    <x v="124"/>
    <x v="389"/>
    <n v="9"/>
    <n v="0.34"/>
    <n v="2477.65"/>
  </r>
  <r>
    <s v="ORD-1391"/>
    <x v="391"/>
    <x v="391"/>
    <x v="1"/>
    <s v="CUST-3981"/>
    <s v="Customer 458"/>
    <x v="1"/>
    <s v="United States"/>
    <s v="Denver"/>
    <x v="5"/>
    <n v="50768"/>
    <x v="3"/>
    <s v="PROD-4374"/>
    <x v="0"/>
    <x v="8"/>
    <x v="295"/>
    <x v="390"/>
    <n v="1"/>
    <n v="0.42"/>
    <n v="-53.92"/>
  </r>
  <r>
    <s v="ORD-1392"/>
    <x v="392"/>
    <x v="392"/>
    <x v="1"/>
    <s v="CUST-3400"/>
    <s v="Customer 381"/>
    <x v="1"/>
    <s v="United States"/>
    <s v="Dallas"/>
    <x v="1"/>
    <n v="25401"/>
    <x v="2"/>
    <s v="PROD-5780"/>
    <x v="2"/>
    <x v="7"/>
    <x v="296"/>
    <x v="391"/>
    <n v="5"/>
    <n v="0.87"/>
    <n v="1067.55"/>
  </r>
  <r>
    <s v="ORD-1393"/>
    <x v="393"/>
    <x v="393"/>
    <x v="0"/>
    <s v="CUST-4423"/>
    <s v="Customer 71"/>
    <x v="0"/>
    <s v="United States"/>
    <s v="Seattle"/>
    <x v="6"/>
    <n v="60411"/>
    <x v="3"/>
    <s v="PROD-8527"/>
    <x v="1"/>
    <x v="10"/>
    <x v="98"/>
    <x v="392"/>
    <n v="4"/>
    <n v="0.56999999999999995"/>
    <n v="79.08"/>
  </r>
  <r>
    <s v="ORD-1394"/>
    <x v="394"/>
    <x v="394"/>
    <x v="3"/>
    <s v="CUST-3978"/>
    <s v="Customer 117"/>
    <x v="0"/>
    <s v="United States"/>
    <s v="Dallas"/>
    <x v="7"/>
    <n v="44532"/>
    <x v="1"/>
    <s v="PROD-3089"/>
    <x v="0"/>
    <x v="1"/>
    <x v="192"/>
    <x v="393"/>
    <n v="4"/>
    <n v="0.17"/>
    <n v="-210.77"/>
  </r>
  <r>
    <s v="ORD-1395"/>
    <x v="395"/>
    <x v="395"/>
    <x v="2"/>
    <s v="CUST-6401"/>
    <s v="Customer 153"/>
    <x v="1"/>
    <s v="United States"/>
    <s v="Los Angeles"/>
    <x v="5"/>
    <n v="64397"/>
    <x v="3"/>
    <s v="PROD-1232"/>
    <x v="0"/>
    <x v="8"/>
    <x v="297"/>
    <x v="394"/>
    <n v="13"/>
    <n v="0.11"/>
    <n v="1334.85"/>
  </r>
  <r>
    <s v="ORD-1396"/>
    <x v="396"/>
    <x v="396"/>
    <x v="1"/>
    <s v="CUST-2034"/>
    <s v="Customer 227"/>
    <x v="0"/>
    <s v="United States"/>
    <s v="Houston"/>
    <x v="4"/>
    <n v="71343"/>
    <x v="3"/>
    <s v="PROD-2227"/>
    <x v="1"/>
    <x v="2"/>
    <x v="79"/>
    <x v="395"/>
    <n v="6"/>
    <n v="0.86"/>
    <n v="1162.28"/>
  </r>
  <r>
    <s v="ORD-1397"/>
    <x v="397"/>
    <x v="397"/>
    <x v="3"/>
    <s v="CUST-2342"/>
    <s v="Customer 434"/>
    <x v="0"/>
    <s v="United States"/>
    <s v="Seattle"/>
    <x v="6"/>
    <n v="86231"/>
    <x v="1"/>
    <s v="PROD-5476"/>
    <x v="2"/>
    <x v="7"/>
    <x v="39"/>
    <x v="396"/>
    <n v="7"/>
    <n v="0.44"/>
    <n v="-11.98"/>
  </r>
  <r>
    <s v="ORD-1398"/>
    <x v="398"/>
    <x v="398"/>
    <x v="3"/>
    <s v="CUST-5578"/>
    <s v="Customer 276"/>
    <x v="1"/>
    <s v="United States"/>
    <s v="Miami"/>
    <x v="5"/>
    <n v="70398"/>
    <x v="0"/>
    <s v="PROD-4112"/>
    <x v="0"/>
    <x v="1"/>
    <x v="205"/>
    <x v="397"/>
    <n v="5"/>
    <n v="0.18"/>
    <n v="559.79"/>
  </r>
  <r>
    <s v="ORD-1399"/>
    <x v="399"/>
    <x v="399"/>
    <x v="1"/>
    <s v="CUST-4402"/>
    <s v="Customer 481"/>
    <x v="2"/>
    <s v="United States"/>
    <s v="New York"/>
    <x v="3"/>
    <n v="43191"/>
    <x v="3"/>
    <s v="PROD-5270"/>
    <x v="1"/>
    <x v="3"/>
    <x v="233"/>
    <x v="398"/>
    <n v="7"/>
    <n v="0.21"/>
    <n v="207.43"/>
  </r>
  <r>
    <s v="ORD-1400"/>
    <x v="400"/>
    <x v="400"/>
    <x v="2"/>
    <s v="CUST-9542"/>
    <s v="Customer 299"/>
    <x v="2"/>
    <s v="United States"/>
    <s v="Los Angeles"/>
    <x v="5"/>
    <n v="96817"/>
    <x v="2"/>
    <s v="PROD-9684"/>
    <x v="1"/>
    <x v="2"/>
    <x v="188"/>
    <x v="399"/>
    <n v="7"/>
    <n v="0.65"/>
    <n v="1861.52"/>
  </r>
  <r>
    <s v="ORD-1401"/>
    <x v="401"/>
    <x v="401"/>
    <x v="3"/>
    <s v="CUST-5358"/>
    <s v="Customer 150"/>
    <x v="2"/>
    <s v="United States"/>
    <s v="Denver"/>
    <x v="0"/>
    <n v="84454"/>
    <x v="2"/>
    <s v="PROD-4924"/>
    <x v="0"/>
    <x v="9"/>
    <x v="239"/>
    <x v="400"/>
    <n v="4"/>
    <n v="0.37"/>
    <n v="31.57"/>
  </r>
  <r>
    <s v="ORD-1402"/>
    <x v="402"/>
    <x v="402"/>
    <x v="0"/>
    <s v="CUST-5631"/>
    <s v="Customer 219"/>
    <x v="2"/>
    <s v="United States"/>
    <s v="Chicago"/>
    <x v="6"/>
    <n v="79052"/>
    <x v="1"/>
    <s v="PROD-3734"/>
    <x v="1"/>
    <x v="2"/>
    <x v="298"/>
    <x v="401"/>
    <n v="8"/>
    <n v="0.74"/>
    <n v="58.6"/>
  </r>
  <r>
    <s v="ORD-1403"/>
    <x v="403"/>
    <x v="403"/>
    <x v="3"/>
    <s v="CUST-2705"/>
    <s v="Customer 480"/>
    <x v="1"/>
    <s v="United States"/>
    <s v="Houston"/>
    <x v="1"/>
    <n v="31192"/>
    <x v="2"/>
    <s v="PROD-2155"/>
    <x v="0"/>
    <x v="1"/>
    <x v="214"/>
    <x v="402"/>
    <n v="2"/>
    <n v="0.26"/>
    <n v="-249.21"/>
  </r>
  <r>
    <s v="ORD-1404"/>
    <x v="404"/>
    <x v="404"/>
    <x v="2"/>
    <s v="CUST-4958"/>
    <s v="Customer 65"/>
    <x v="2"/>
    <s v="United States"/>
    <s v="New York"/>
    <x v="5"/>
    <n v="37470"/>
    <x v="2"/>
    <s v="PROD-1842"/>
    <x v="0"/>
    <x v="9"/>
    <x v="299"/>
    <x v="403"/>
    <n v="6"/>
    <n v="0.64"/>
    <n v="1.81"/>
  </r>
  <r>
    <s v="ORD-1405"/>
    <x v="405"/>
    <x v="405"/>
    <x v="3"/>
    <s v="CUST-5164"/>
    <s v="Customer 28"/>
    <x v="0"/>
    <s v="United States"/>
    <s v="Chicago"/>
    <x v="0"/>
    <n v="72688"/>
    <x v="1"/>
    <s v="PROD-4304"/>
    <x v="2"/>
    <x v="5"/>
    <x v="281"/>
    <x v="404"/>
    <n v="9"/>
    <n v="0.9"/>
    <n v="217.22"/>
  </r>
  <r>
    <s v="ORD-1406"/>
    <x v="406"/>
    <x v="406"/>
    <x v="3"/>
    <s v="CUST-8116"/>
    <s v="Customer 77"/>
    <x v="2"/>
    <s v="United States"/>
    <s v="Phoenix"/>
    <x v="8"/>
    <n v="49592"/>
    <x v="1"/>
    <s v="PROD-6807"/>
    <x v="2"/>
    <x v="5"/>
    <x v="117"/>
    <x v="405"/>
    <n v="12"/>
    <n v="0.64"/>
    <n v="658.34"/>
  </r>
  <r>
    <s v="ORD-1407"/>
    <x v="407"/>
    <x v="407"/>
    <x v="3"/>
    <s v="CUST-3759"/>
    <s v="Customer 392"/>
    <x v="2"/>
    <s v="United States"/>
    <s v="Seattle"/>
    <x v="2"/>
    <n v="15315"/>
    <x v="0"/>
    <s v="PROD-9572"/>
    <x v="0"/>
    <x v="9"/>
    <x v="300"/>
    <x v="406"/>
    <n v="3"/>
    <n v="0.25"/>
    <n v="236.76"/>
  </r>
  <r>
    <s v="ORD-1408"/>
    <x v="408"/>
    <x v="408"/>
    <x v="3"/>
    <s v="CUST-1221"/>
    <s v="Customer 32"/>
    <x v="0"/>
    <s v="United States"/>
    <s v="Denver"/>
    <x v="1"/>
    <n v="51827"/>
    <x v="0"/>
    <s v="PROD-6762"/>
    <x v="1"/>
    <x v="2"/>
    <x v="301"/>
    <x v="407"/>
    <n v="10"/>
    <n v="0.39"/>
    <n v="318.75"/>
  </r>
  <r>
    <s v="ORD-1409"/>
    <x v="409"/>
    <x v="409"/>
    <x v="2"/>
    <s v="CUST-3371"/>
    <s v="Customer 427"/>
    <x v="0"/>
    <s v="United States"/>
    <s v="Chicago"/>
    <x v="5"/>
    <n v="94489"/>
    <x v="2"/>
    <s v="PROD-5040"/>
    <x v="1"/>
    <x v="3"/>
    <x v="38"/>
    <x v="408"/>
    <n v="8"/>
    <n v="0.72"/>
    <n v="589.99"/>
  </r>
  <r>
    <s v="ORD-1410"/>
    <x v="410"/>
    <x v="410"/>
    <x v="1"/>
    <s v="CUST-9702"/>
    <s v="Customer 181"/>
    <x v="0"/>
    <s v="United States"/>
    <s v="Dallas"/>
    <x v="4"/>
    <n v="90983"/>
    <x v="1"/>
    <s v="PROD-5702"/>
    <x v="1"/>
    <x v="10"/>
    <x v="184"/>
    <x v="409"/>
    <n v="11"/>
    <n v="0.41"/>
    <n v="563.28"/>
  </r>
  <r>
    <s v="ORD-1411"/>
    <x v="411"/>
    <x v="411"/>
    <x v="1"/>
    <s v="CUST-3156"/>
    <s v="Customer 382"/>
    <x v="1"/>
    <s v="United States"/>
    <s v="Houston"/>
    <x v="5"/>
    <n v="15285"/>
    <x v="1"/>
    <s v="PROD-4155"/>
    <x v="0"/>
    <x v="0"/>
    <x v="299"/>
    <x v="410"/>
    <n v="12"/>
    <n v="0.78"/>
    <n v="1042.53"/>
  </r>
  <r>
    <s v="ORD-1412"/>
    <x v="412"/>
    <x v="412"/>
    <x v="1"/>
    <s v="CUST-4297"/>
    <s v="Customer 448"/>
    <x v="0"/>
    <s v="United States"/>
    <s v="Phoenix"/>
    <x v="7"/>
    <n v="30752"/>
    <x v="3"/>
    <s v="PROD-6936"/>
    <x v="2"/>
    <x v="11"/>
    <x v="74"/>
    <x v="411"/>
    <n v="13"/>
    <n v="0.42"/>
    <n v="-368.86"/>
  </r>
  <r>
    <s v="ORD-1413"/>
    <x v="413"/>
    <x v="413"/>
    <x v="2"/>
    <s v="CUST-9330"/>
    <s v="Customer 199"/>
    <x v="1"/>
    <s v="United States"/>
    <s v="Miami"/>
    <x v="4"/>
    <n v="98199"/>
    <x v="2"/>
    <s v="PROD-3925"/>
    <x v="0"/>
    <x v="9"/>
    <x v="302"/>
    <x v="412"/>
    <n v="13"/>
    <n v="0.59"/>
    <n v="2088.88"/>
  </r>
  <r>
    <s v="ORD-1414"/>
    <x v="414"/>
    <x v="414"/>
    <x v="2"/>
    <s v="CUST-1180"/>
    <s v="Customer 177"/>
    <x v="1"/>
    <s v="United States"/>
    <s v="Dallas"/>
    <x v="7"/>
    <n v="63866"/>
    <x v="3"/>
    <s v="PROD-4973"/>
    <x v="2"/>
    <x v="5"/>
    <x v="303"/>
    <x v="413"/>
    <n v="14"/>
    <n v="0.77"/>
    <n v="1267.5999999999999"/>
  </r>
  <r>
    <s v="ORD-1415"/>
    <x v="415"/>
    <x v="415"/>
    <x v="3"/>
    <s v="CUST-8484"/>
    <s v="Customer 97"/>
    <x v="0"/>
    <s v="United States"/>
    <s v="New York"/>
    <x v="0"/>
    <n v="79767"/>
    <x v="1"/>
    <s v="PROD-9618"/>
    <x v="2"/>
    <x v="11"/>
    <x v="144"/>
    <x v="414"/>
    <n v="11"/>
    <n v="0.49"/>
    <n v="-775.42"/>
  </r>
  <r>
    <s v="ORD-1416"/>
    <x v="416"/>
    <x v="416"/>
    <x v="2"/>
    <s v="CUST-8202"/>
    <s v="Customer 261"/>
    <x v="1"/>
    <s v="United States"/>
    <s v="Los Angeles"/>
    <x v="6"/>
    <n v="50925"/>
    <x v="2"/>
    <s v="PROD-3055"/>
    <x v="0"/>
    <x v="0"/>
    <x v="243"/>
    <x v="415"/>
    <n v="2"/>
    <n v="0.18"/>
    <n v="81.31"/>
  </r>
  <r>
    <s v="ORD-1417"/>
    <x v="417"/>
    <x v="417"/>
    <x v="3"/>
    <s v="CUST-6242"/>
    <s v="Customer 67"/>
    <x v="0"/>
    <s v="United States"/>
    <s v="Seattle"/>
    <x v="4"/>
    <n v="88127"/>
    <x v="0"/>
    <s v="PROD-2792"/>
    <x v="0"/>
    <x v="9"/>
    <x v="100"/>
    <x v="416"/>
    <n v="3"/>
    <n v="0.24"/>
    <n v="12.08"/>
  </r>
  <r>
    <s v="ORD-1418"/>
    <x v="418"/>
    <x v="418"/>
    <x v="1"/>
    <s v="CUST-4081"/>
    <s v="Customer 377"/>
    <x v="0"/>
    <s v="United States"/>
    <s v="Houston"/>
    <x v="2"/>
    <n v="71366"/>
    <x v="2"/>
    <s v="PROD-5957"/>
    <x v="0"/>
    <x v="0"/>
    <x v="149"/>
    <x v="417"/>
    <n v="11"/>
    <n v="0.85"/>
    <n v="386.84"/>
  </r>
  <r>
    <s v="ORD-1419"/>
    <x v="419"/>
    <x v="419"/>
    <x v="3"/>
    <s v="CUST-2681"/>
    <s v="Customer 101"/>
    <x v="0"/>
    <s v="United States"/>
    <s v="Phoenix"/>
    <x v="8"/>
    <n v="51430"/>
    <x v="0"/>
    <s v="PROD-9589"/>
    <x v="2"/>
    <x v="11"/>
    <x v="300"/>
    <x v="418"/>
    <n v="4"/>
    <n v="0.77"/>
    <n v="-106.43"/>
  </r>
  <r>
    <s v="ORD-1420"/>
    <x v="420"/>
    <x v="420"/>
    <x v="2"/>
    <s v="CUST-4246"/>
    <s v="Customer 423"/>
    <x v="1"/>
    <s v="United States"/>
    <s v="Phoenix"/>
    <x v="5"/>
    <n v="33903"/>
    <x v="0"/>
    <s v="PROD-3971"/>
    <x v="0"/>
    <x v="0"/>
    <x v="304"/>
    <x v="419"/>
    <n v="13"/>
    <n v="0.72"/>
    <n v="146.02000000000001"/>
  </r>
  <r>
    <s v="ORD-1421"/>
    <x v="421"/>
    <x v="421"/>
    <x v="2"/>
    <s v="CUST-3726"/>
    <s v="Customer 77"/>
    <x v="2"/>
    <s v="United States"/>
    <s v="Houston"/>
    <x v="7"/>
    <n v="45840"/>
    <x v="3"/>
    <s v="PROD-6500"/>
    <x v="0"/>
    <x v="8"/>
    <x v="32"/>
    <x v="420"/>
    <n v="5"/>
    <n v="0.3"/>
    <n v="-50.75"/>
  </r>
  <r>
    <s v="ORD-1422"/>
    <x v="422"/>
    <x v="422"/>
    <x v="3"/>
    <s v="CUST-9824"/>
    <s v="Customer 83"/>
    <x v="2"/>
    <s v="United States"/>
    <s v="Phoenix"/>
    <x v="0"/>
    <n v="63157"/>
    <x v="3"/>
    <s v="PROD-3778"/>
    <x v="0"/>
    <x v="9"/>
    <x v="305"/>
    <x v="421"/>
    <n v="9"/>
    <n v="0.5"/>
    <n v="628.34"/>
  </r>
  <r>
    <s v="ORD-1423"/>
    <x v="423"/>
    <x v="423"/>
    <x v="3"/>
    <s v="CUST-6373"/>
    <s v="Customer 271"/>
    <x v="0"/>
    <s v="United States"/>
    <s v="New York"/>
    <x v="8"/>
    <n v="25966"/>
    <x v="3"/>
    <s v="PROD-5637"/>
    <x v="0"/>
    <x v="9"/>
    <x v="306"/>
    <x v="422"/>
    <n v="8"/>
    <n v="0.66"/>
    <n v="142.69999999999999"/>
  </r>
  <r>
    <s v="ORD-1424"/>
    <x v="424"/>
    <x v="424"/>
    <x v="1"/>
    <s v="CUST-1239"/>
    <s v="Customer 189"/>
    <x v="1"/>
    <s v="United States"/>
    <s v="Chicago"/>
    <x v="8"/>
    <n v="12142"/>
    <x v="2"/>
    <s v="PROD-3258"/>
    <x v="0"/>
    <x v="0"/>
    <x v="307"/>
    <x v="423"/>
    <n v="10"/>
    <n v="0.56000000000000005"/>
    <n v="18.760000000000002"/>
  </r>
  <r>
    <s v="ORD-1425"/>
    <x v="425"/>
    <x v="425"/>
    <x v="0"/>
    <s v="CUST-8738"/>
    <s v="Customer 308"/>
    <x v="0"/>
    <s v="United States"/>
    <s v="New York"/>
    <x v="5"/>
    <n v="34714"/>
    <x v="0"/>
    <s v="PROD-1454"/>
    <x v="1"/>
    <x v="4"/>
    <x v="308"/>
    <x v="424"/>
    <n v="6"/>
    <n v="0.81"/>
    <n v="-64.06"/>
  </r>
  <r>
    <s v="ORD-1426"/>
    <x v="426"/>
    <x v="426"/>
    <x v="1"/>
    <s v="CUST-9816"/>
    <s v="Customer 358"/>
    <x v="2"/>
    <s v="United States"/>
    <s v="Chicago"/>
    <x v="4"/>
    <n v="70880"/>
    <x v="2"/>
    <s v="PROD-1437"/>
    <x v="0"/>
    <x v="1"/>
    <x v="309"/>
    <x v="425"/>
    <n v="13"/>
    <n v="0.16"/>
    <n v="-0.79"/>
  </r>
  <r>
    <s v="ORD-1427"/>
    <x v="427"/>
    <x v="427"/>
    <x v="2"/>
    <s v="CUST-2981"/>
    <s v="Customer 130"/>
    <x v="1"/>
    <s v="United States"/>
    <s v="New York"/>
    <x v="3"/>
    <n v="88596"/>
    <x v="3"/>
    <s v="PROD-7165"/>
    <x v="2"/>
    <x v="5"/>
    <x v="189"/>
    <x v="426"/>
    <n v="11"/>
    <n v="0.05"/>
    <n v="911.48"/>
  </r>
  <r>
    <s v="ORD-1428"/>
    <x v="428"/>
    <x v="428"/>
    <x v="1"/>
    <s v="CUST-9918"/>
    <s v="Customer 170"/>
    <x v="2"/>
    <s v="United States"/>
    <s v="Miami"/>
    <x v="0"/>
    <n v="25555"/>
    <x v="1"/>
    <s v="PROD-7111"/>
    <x v="1"/>
    <x v="3"/>
    <x v="196"/>
    <x v="427"/>
    <n v="8"/>
    <n v="0.17"/>
    <n v="1502.17"/>
  </r>
  <r>
    <s v="ORD-1429"/>
    <x v="429"/>
    <x v="429"/>
    <x v="0"/>
    <s v="CUST-5723"/>
    <s v="Customer 445"/>
    <x v="0"/>
    <s v="United States"/>
    <s v="Los Angeles"/>
    <x v="6"/>
    <n v="32111"/>
    <x v="0"/>
    <s v="PROD-5156"/>
    <x v="2"/>
    <x v="6"/>
    <x v="213"/>
    <x v="428"/>
    <n v="6"/>
    <n v="0.33"/>
    <n v="72.930000000000007"/>
  </r>
  <r>
    <s v="ORD-1430"/>
    <x v="430"/>
    <x v="430"/>
    <x v="2"/>
    <s v="CUST-7682"/>
    <s v="Customer 204"/>
    <x v="2"/>
    <s v="United States"/>
    <s v="Dallas"/>
    <x v="5"/>
    <n v="27142"/>
    <x v="3"/>
    <s v="PROD-3140"/>
    <x v="2"/>
    <x v="6"/>
    <x v="301"/>
    <x v="429"/>
    <n v="6"/>
    <n v="0.89"/>
    <n v="-428.5"/>
  </r>
  <r>
    <s v="ORD-1431"/>
    <x v="431"/>
    <x v="431"/>
    <x v="0"/>
    <s v="CUST-1652"/>
    <s v="Customer 307"/>
    <x v="1"/>
    <s v="United States"/>
    <s v="Denver"/>
    <x v="6"/>
    <n v="28428"/>
    <x v="3"/>
    <s v="PROD-9638"/>
    <x v="2"/>
    <x v="6"/>
    <x v="98"/>
    <x v="430"/>
    <n v="3"/>
    <n v="0.85"/>
    <n v="-647.42999999999995"/>
  </r>
  <r>
    <s v="ORD-1432"/>
    <x v="432"/>
    <x v="432"/>
    <x v="3"/>
    <s v="CUST-5256"/>
    <s v="Customer 426"/>
    <x v="1"/>
    <s v="United States"/>
    <s v="Denver"/>
    <x v="8"/>
    <n v="74369"/>
    <x v="0"/>
    <s v="PROD-8132"/>
    <x v="2"/>
    <x v="5"/>
    <x v="238"/>
    <x v="431"/>
    <n v="2"/>
    <n v="0.09"/>
    <n v="34.700000000000003"/>
  </r>
  <r>
    <s v="ORD-1433"/>
    <x v="433"/>
    <x v="433"/>
    <x v="3"/>
    <s v="CUST-8061"/>
    <s v="Customer 275"/>
    <x v="1"/>
    <s v="United States"/>
    <s v="Phoenix"/>
    <x v="7"/>
    <n v="79784"/>
    <x v="0"/>
    <s v="PROD-2065"/>
    <x v="1"/>
    <x v="3"/>
    <x v="310"/>
    <x v="432"/>
    <n v="12"/>
    <n v="0.23"/>
    <n v="1026.97"/>
  </r>
  <r>
    <s v="ORD-1434"/>
    <x v="434"/>
    <x v="434"/>
    <x v="2"/>
    <s v="CUST-9425"/>
    <s v="Customer 5"/>
    <x v="1"/>
    <s v="United States"/>
    <s v="Dallas"/>
    <x v="4"/>
    <n v="93558"/>
    <x v="3"/>
    <s v="PROD-5717"/>
    <x v="2"/>
    <x v="6"/>
    <x v="262"/>
    <x v="433"/>
    <n v="6"/>
    <n v="0.04"/>
    <n v="-2.2400000000000002"/>
  </r>
  <r>
    <s v="ORD-1435"/>
    <x v="435"/>
    <x v="435"/>
    <x v="2"/>
    <s v="CUST-7309"/>
    <s v="Customer 401"/>
    <x v="0"/>
    <s v="United States"/>
    <s v="Denver"/>
    <x v="6"/>
    <n v="76882"/>
    <x v="1"/>
    <s v="PROD-2150"/>
    <x v="2"/>
    <x v="5"/>
    <x v="311"/>
    <x v="434"/>
    <n v="14"/>
    <n v="0.09"/>
    <n v="209.4"/>
  </r>
  <r>
    <s v="ORD-1436"/>
    <x v="436"/>
    <x v="436"/>
    <x v="2"/>
    <s v="CUST-4277"/>
    <s v="Customer 295"/>
    <x v="0"/>
    <s v="United States"/>
    <s v="Miami"/>
    <x v="0"/>
    <n v="41916"/>
    <x v="1"/>
    <s v="PROD-5407"/>
    <x v="1"/>
    <x v="10"/>
    <x v="80"/>
    <x v="435"/>
    <n v="5"/>
    <n v="0.82"/>
    <n v="156.16"/>
  </r>
  <r>
    <s v="ORD-1437"/>
    <x v="437"/>
    <x v="437"/>
    <x v="1"/>
    <s v="CUST-4831"/>
    <s v="Customer 369"/>
    <x v="1"/>
    <s v="United States"/>
    <s v="Dallas"/>
    <x v="6"/>
    <n v="64291"/>
    <x v="1"/>
    <s v="PROD-3178"/>
    <x v="2"/>
    <x v="7"/>
    <x v="226"/>
    <x v="436"/>
    <n v="2"/>
    <n v="0.67"/>
    <n v="999.89"/>
  </r>
  <r>
    <s v="ORD-1438"/>
    <x v="438"/>
    <x v="438"/>
    <x v="3"/>
    <s v="CUST-9956"/>
    <s v="Customer 486"/>
    <x v="0"/>
    <s v="United States"/>
    <s v="Phoenix"/>
    <x v="0"/>
    <n v="33725"/>
    <x v="1"/>
    <s v="PROD-8055"/>
    <x v="2"/>
    <x v="5"/>
    <x v="312"/>
    <x v="437"/>
    <n v="3"/>
    <n v="0.05"/>
    <n v="265.29000000000002"/>
  </r>
  <r>
    <s v="ORD-1439"/>
    <x v="439"/>
    <x v="439"/>
    <x v="1"/>
    <s v="CUST-5529"/>
    <s v="Customer 471"/>
    <x v="2"/>
    <s v="United States"/>
    <s v="Houston"/>
    <x v="8"/>
    <n v="97845"/>
    <x v="0"/>
    <s v="PROD-5221"/>
    <x v="2"/>
    <x v="7"/>
    <x v="71"/>
    <x v="438"/>
    <n v="4"/>
    <n v="0.66"/>
    <n v="389.23"/>
  </r>
  <r>
    <s v="ORD-1440"/>
    <x v="440"/>
    <x v="440"/>
    <x v="1"/>
    <s v="CUST-8746"/>
    <s v="Customer 390"/>
    <x v="2"/>
    <s v="United States"/>
    <s v="Seattle"/>
    <x v="7"/>
    <n v="27087"/>
    <x v="1"/>
    <s v="PROD-9227"/>
    <x v="0"/>
    <x v="1"/>
    <x v="313"/>
    <x v="439"/>
    <n v="11"/>
    <n v="0.28000000000000003"/>
    <n v="1138.98"/>
  </r>
  <r>
    <s v="ORD-1441"/>
    <x v="441"/>
    <x v="441"/>
    <x v="3"/>
    <s v="CUST-3256"/>
    <s v="Customer 486"/>
    <x v="2"/>
    <s v="United States"/>
    <s v="Miami"/>
    <x v="7"/>
    <n v="99774"/>
    <x v="0"/>
    <s v="PROD-8183"/>
    <x v="1"/>
    <x v="10"/>
    <x v="22"/>
    <x v="440"/>
    <n v="12"/>
    <n v="0.63"/>
    <n v="106.84"/>
  </r>
  <r>
    <s v="ORD-1442"/>
    <x v="442"/>
    <x v="442"/>
    <x v="2"/>
    <s v="CUST-4011"/>
    <s v="Customer 29"/>
    <x v="2"/>
    <s v="United States"/>
    <s v="Seattle"/>
    <x v="4"/>
    <n v="82284"/>
    <x v="2"/>
    <s v="PROD-5403"/>
    <x v="1"/>
    <x v="10"/>
    <x v="84"/>
    <x v="441"/>
    <n v="2"/>
    <n v="0.39"/>
    <n v="54.64"/>
  </r>
  <r>
    <s v="ORD-1443"/>
    <x v="443"/>
    <x v="443"/>
    <x v="2"/>
    <s v="CUST-7991"/>
    <s v="Customer 450"/>
    <x v="0"/>
    <s v="United States"/>
    <s v="Chicago"/>
    <x v="1"/>
    <n v="78510"/>
    <x v="3"/>
    <s v="PROD-9761"/>
    <x v="0"/>
    <x v="1"/>
    <x v="9"/>
    <x v="442"/>
    <n v="4"/>
    <n v="0.04"/>
    <n v="-500.93"/>
  </r>
  <r>
    <s v="ORD-1444"/>
    <x v="444"/>
    <x v="444"/>
    <x v="2"/>
    <s v="CUST-7713"/>
    <s v="Customer 22"/>
    <x v="2"/>
    <s v="United States"/>
    <s v="Los Angeles"/>
    <x v="6"/>
    <n v="94598"/>
    <x v="2"/>
    <s v="PROD-3797"/>
    <x v="1"/>
    <x v="3"/>
    <x v="314"/>
    <x v="443"/>
    <n v="10"/>
    <n v="0.02"/>
    <n v="1007.27"/>
  </r>
  <r>
    <s v="ORD-1445"/>
    <x v="445"/>
    <x v="445"/>
    <x v="3"/>
    <s v="CUST-2966"/>
    <s v="Customer 111"/>
    <x v="0"/>
    <s v="United States"/>
    <s v="Miami"/>
    <x v="0"/>
    <n v="32022"/>
    <x v="3"/>
    <s v="PROD-2206"/>
    <x v="0"/>
    <x v="9"/>
    <x v="315"/>
    <x v="444"/>
    <n v="14"/>
    <n v="0.8"/>
    <n v="1618.3"/>
  </r>
  <r>
    <s v="ORD-1446"/>
    <x v="446"/>
    <x v="446"/>
    <x v="1"/>
    <s v="CUST-2821"/>
    <s v="Customer 374"/>
    <x v="0"/>
    <s v="United States"/>
    <s v="Chicago"/>
    <x v="1"/>
    <n v="15672"/>
    <x v="2"/>
    <s v="PROD-1428"/>
    <x v="2"/>
    <x v="5"/>
    <x v="100"/>
    <x v="445"/>
    <n v="1"/>
    <n v="0.71"/>
    <n v="609.41"/>
  </r>
  <r>
    <s v="ORD-1447"/>
    <x v="447"/>
    <x v="447"/>
    <x v="3"/>
    <s v="CUST-4428"/>
    <s v="Customer 117"/>
    <x v="1"/>
    <s v="United States"/>
    <s v="Seattle"/>
    <x v="0"/>
    <n v="61470"/>
    <x v="0"/>
    <s v="PROD-3622"/>
    <x v="0"/>
    <x v="1"/>
    <x v="59"/>
    <x v="446"/>
    <n v="14"/>
    <n v="0.48"/>
    <n v="-312.05"/>
  </r>
  <r>
    <s v="ORD-1448"/>
    <x v="448"/>
    <x v="448"/>
    <x v="3"/>
    <s v="CUST-7982"/>
    <s v="Customer 205"/>
    <x v="0"/>
    <s v="United States"/>
    <s v="Phoenix"/>
    <x v="6"/>
    <n v="71542"/>
    <x v="3"/>
    <s v="PROD-7676"/>
    <x v="2"/>
    <x v="11"/>
    <x v="8"/>
    <x v="447"/>
    <n v="8"/>
    <n v="0.31"/>
    <n v="-157.88999999999999"/>
  </r>
  <r>
    <s v="ORD-1449"/>
    <x v="449"/>
    <x v="449"/>
    <x v="2"/>
    <s v="CUST-3373"/>
    <s v="Customer 273"/>
    <x v="2"/>
    <s v="United States"/>
    <s v="Chicago"/>
    <x v="2"/>
    <n v="31296"/>
    <x v="0"/>
    <s v="PROD-1578"/>
    <x v="1"/>
    <x v="4"/>
    <x v="41"/>
    <x v="448"/>
    <n v="12"/>
    <n v="0.54"/>
    <n v="-159.85"/>
  </r>
  <r>
    <s v="ORD-1450"/>
    <x v="450"/>
    <x v="450"/>
    <x v="3"/>
    <s v="CUST-1615"/>
    <s v="Customer 29"/>
    <x v="0"/>
    <s v="United States"/>
    <s v="Houston"/>
    <x v="4"/>
    <n v="10019"/>
    <x v="2"/>
    <s v="PROD-6110"/>
    <x v="0"/>
    <x v="9"/>
    <x v="23"/>
    <x v="449"/>
    <n v="11"/>
    <n v="0.75"/>
    <n v="162.69"/>
  </r>
  <r>
    <s v="ORD-1451"/>
    <x v="451"/>
    <x v="451"/>
    <x v="1"/>
    <s v="CUST-1619"/>
    <s v="Customer 42"/>
    <x v="2"/>
    <s v="United States"/>
    <s v="Seattle"/>
    <x v="1"/>
    <n v="64535"/>
    <x v="3"/>
    <s v="PROD-3231"/>
    <x v="1"/>
    <x v="2"/>
    <x v="316"/>
    <x v="450"/>
    <n v="10"/>
    <n v="0.27"/>
    <n v="337.28"/>
  </r>
  <r>
    <s v="ORD-1452"/>
    <x v="452"/>
    <x v="452"/>
    <x v="0"/>
    <s v="CUST-2967"/>
    <s v="Customer 36"/>
    <x v="0"/>
    <s v="United States"/>
    <s v="Dallas"/>
    <x v="7"/>
    <n v="59609"/>
    <x v="3"/>
    <s v="PROD-7192"/>
    <x v="0"/>
    <x v="0"/>
    <x v="317"/>
    <x v="451"/>
    <n v="2"/>
    <n v="0.52"/>
    <n v="-217.48"/>
  </r>
  <r>
    <s v="ORD-1453"/>
    <x v="453"/>
    <x v="453"/>
    <x v="1"/>
    <s v="CUST-3573"/>
    <s v="Customer 202"/>
    <x v="0"/>
    <s v="United States"/>
    <s v="Denver"/>
    <x v="1"/>
    <n v="94306"/>
    <x v="0"/>
    <s v="PROD-8319"/>
    <x v="0"/>
    <x v="8"/>
    <x v="163"/>
    <x v="452"/>
    <n v="8"/>
    <n v="0.9"/>
    <n v="897.02"/>
  </r>
  <r>
    <s v="ORD-1454"/>
    <x v="454"/>
    <x v="454"/>
    <x v="3"/>
    <s v="CUST-5694"/>
    <s v="Customer 3"/>
    <x v="0"/>
    <s v="United States"/>
    <s v="Miami"/>
    <x v="0"/>
    <n v="82693"/>
    <x v="0"/>
    <s v="PROD-6964"/>
    <x v="0"/>
    <x v="1"/>
    <x v="318"/>
    <x v="453"/>
    <n v="8"/>
    <n v="0.31"/>
    <n v="-124.93"/>
  </r>
  <r>
    <s v="ORD-1455"/>
    <x v="455"/>
    <x v="455"/>
    <x v="1"/>
    <s v="CUST-4874"/>
    <s v="Customer 307"/>
    <x v="1"/>
    <s v="United States"/>
    <s v="Denver"/>
    <x v="7"/>
    <n v="50417"/>
    <x v="0"/>
    <s v="PROD-2113"/>
    <x v="0"/>
    <x v="0"/>
    <x v="319"/>
    <x v="454"/>
    <n v="12"/>
    <n v="0.17"/>
    <n v="445.91"/>
  </r>
  <r>
    <s v="ORD-1456"/>
    <x v="456"/>
    <x v="456"/>
    <x v="0"/>
    <s v="CUST-3001"/>
    <s v="Customer 175"/>
    <x v="1"/>
    <s v="United States"/>
    <s v="New York"/>
    <x v="4"/>
    <n v="70435"/>
    <x v="3"/>
    <s v="PROD-1578"/>
    <x v="2"/>
    <x v="6"/>
    <x v="320"/>
    <x v="455"/>
    <n v="4"/>
    <n v="0.88"/>
    <n v="248.01"/>
  </r>
  <r>
    <s v="ORD-1457"/>
    <x v="457"/>
    <x v="457"/>
    <x v="1"/>
    <s v="CUST-7004"/>
    <s v="Customer 313"/>
    <x v="2"/>
    <s v="United States"/>
    <s v="Miami"/>
    <x v="2"/>
    <n v="35299"/>
    <x v="0"/>
    <s v="PROD-3968"/>
    <x v="0"/>
    <x v="9"/>
    <x v="321"/>
    <x v="456"/>
    <n v="10"/>
    <n v="0.65"/>
    <n v="480.11"/>
  </r>
  <r>
    <s v="ORD-1458"/>
    <x v="458"/>
    <x v="458"/>
    <x v="3"/>
    <s v="CUST-7882"/>
    <s v="Customer 72"/>
    <x v="1"/>
    <s v="United States"/>
    <s v="Dallas"/>
    <x v="7"/>
    <n v="51089"/>
    <x v="1"/>
    <s v="PROD-3814"/>
    <x v="2"/>
    <x v="5"/>
    <x v="49"/>
    <x v="457"/>
    <n v="6"/>
    <n v="0.14000000000000001"/>
    <n v="413.34"/>
  </r>
  <r>
    <s v="ORD-1459"/>
    <x v="459"/>
    <x v="459"/>
    <x v="1"/>
    <s v="CUST-4838"/>
    <s v="Customer 353"/>
    <x v="0"/>
    <s v="United States"/>
    <s v="Seattle"/>
    <x v="7"/>
    <n v="17409"/>
    <x v="3"/>
    <s v="PROD-3498"/>
    <x v="0"/>
    <x v="0"/>
    <x v="322"/>
    <x v="458"/>
    <n v="14"/>
    <n v="0.51"/>
    <n v="-170.81"/>
  </r>
  <r>
    <s v="ORD-1460"/>
    <x v="460"/>
    <x v="460"/>
    <x v="2"/>
    <s v="CUST-9636"/>
    <s v="Customer 392"/>
    <x v="2"/>
    <s v="United States"/>
    <s v="Chicago"/>
    <x v="3"/>
    <n v="92270"/>
    <x v="0"/>
    <s v="PROD-3293"/>
    <x v="1"/>
    <x v="2"/>
    <x v="278"/>
    <x v="459"/>
    <n v="8"/>
    <n v="0.61"/>
    <n v="1185.18"/>
  </r>
  <r>
    <s v="ORD-1461"/>
    <x v="461"/>
    <x v="461"/>
    <x v="0"/>
    <s v="CUST-6753"/>
    <s v="Customer 146"/>
    <x v="1"/>
    <s v="United States"/>
    <s v="New York"/>
    <x v="0"/>
    <n v="75946"/>
    <x v="3"/>
    <s v="PROD-9752"/>
    <x v="1"/>
    <x v="2"/>
    <x v="323"/>
    <x v="460"/>
    <n v="2"/>
    <n v="0.77"/>
    <n v="1097.58"/>
  </r>
  <r>
    <s v="ORD-1462"/>
    <x v="462"/>
    <x v="462"/>
    <x v="1"/>
    <s v="CUST-7662"/>
    <s v="Customer 120"/>
    <x v="0"/>
    <s v="United States"/>
    <s v="Denver"/>
    <x v="7"/>
    <n v="35421"/>
    <x v="1"/>
    <s v="PROD-3018"/>
    <x v="0"/>
    <x v="8"/>
    <x v="265"/>
    <x v="461"/>
    <n v="9"/>
    <n v="0.22"/>
    <n v="687.63"/>
  </r>
  <r>
    <s v="ORD-1463"/>
    <x v="463"/>
    <x v="463"/>
    <x v="3"/>
    <s v="CUST-9351"/>
    <s v="Customer 123"/>
    <x v="0"/>
    <s v="United States"/>
    <s v="Seattle"/>
    <x v="3"/>
    <n v="26055"/>
    <x v="0"/>
    <s v="PROD-9742"/>
    <x v="1"/>
    <x v="4"/>
    <x v="50"/>
    <x v="462"/>
    <n v="10"/>
    <n v="0.71"/>
    <n v="1425.98"/>
  </r>
  <r>
    <s v="ORD-1464"/>
    <x v="464"/>
    <x v="464"/>
    <x v="2"/>
    <s v="CUST-9776"/>
    <s v="Customer 9"/>
    <x v="0"/>
    <s v="United States"/>
    <s v="Dallas"/>
    <x v="4"/>
    <n v="74640"/>
    <x v="0"/>
    <s v="PROD-5107"/>
    <x v="2"/>
    <x v="6"/>
    <x v="281"/>
    <x v="463"/>
    <n v="6"/>
    <n v="0.33"/>
    <n v="240.03"/>
  </r>
  <r>
    <s v="ORD-1465"/>
    <x v="465"/>
    <x v="465"/>
    <x v="0"/>
    <s v="CUST-8422"/>
    <s v="Customer 451"/>
    <x v="2"/>
    <s v="United States"/>
    <s v="Denver"/>
    <x v="2"/>
    <n v="38918"/>
    <x v="2"/>
    <s v="PROD-7235"/>
    <x v="0"/>
    <x v="0"/>
    <x v="324"/>
    <x v="464"/>
    <n v="3"/>
    <n v="0.86"/>
    <n v="159.96"/>
  </r>
  <r>
    <s v="ORD-1466"/>
    <x v="466"/>
    <x v="466"/>
    <x v="3"/>
    <s v="CUST-5817"/>
    <s v="Customer 9"/>
    <x v="1"/>
    <s v="United States"/>
    <s v="Seattle"/>
    <x v="3"/>
    <n v="67082"/>
    <x v="0"/>
    <s v="PROD-6953"/>
    <x v="2"/>
    <x v="11"/>
    <x v="325"/>
    <x v="465"/>
    <n v="11"/>
    <n v="0.38"/>
    <n v="-5.01"/>
  </r>
  <r>
    <s v="ORD-1467"/>
    <x v="467"/>
    <x v="467"/>
    <x v="0"/>
    <s v="CUST-7543"/>
    <s v="Customer 334"/>
    <x v="1"/>
    <s v="United States"/>
    <s v="Seattle"/>
    <x v="7"/>
    <n v="97364"/>
    <x v="0"/>
    <s v="PROD-8967"/>
    <x v="1"/>
    <x v="2"/>
    <x v="326"/>
    <x v="466"/>
    <n v="4"/>
    <n v="0.38"/>
    <n v="332.68"/>
  </r>
  <r>
    <s v="ORD-1468"/>
    <x v="468"/>
    <x v="468"/>
    <x v="0"/>
    <s v="CUST-4000"/>
    <s v="Customer 175"/>
    <x v="2"/>
    <s v="United States"/>
    <s v="Denver"/>
    <x v="0"/>
    <n v="88301"/>
    <x v="0"/>
    <s v="PROD-7919"/>
    <x v="0"/>
    <x v="1"/>
    <x v="83"/>
    <x v="467"/>
    <n v="6"/>
    <n v="0.43"/>
    <n v="445.84"/>
  </r>
  <r>
    <s v="ORD-1469"/>
    <x v="469"/>
    <x v="469"/>
    <x v="3"/>
    <s v="CUST-8263"/>
    <s v="Customer 313"/>
    <x v="2"/>
    <s v="United States"/>
    <s v="Phoenix"/>
    <x v="2"/>
    <n v="39933"/>
    <x v="2"/>
    <s v="PROD-8569"/>
    <x v="1"/>
    <x v="3"/>
    <x v="327"/>
    <x v="468"/>
    <n v="4"/>
    <n v="0.63"/>
    <n v="1346.93"/>
  </r>
  <r>
    <s v="ORD-1470"/>
    <x v="470"/>
    <x v="470"/>
    <x v="2"/>
    <s v="CUST-3459"/>
    <s v="Customer 251"/>
    <x v="1"/>
    <s v="United States"/>
    <s v="Los Angeles"/>
    <x v="6"/>
    <n v="11562"/>
    <x v="1"/>
    <s v="PROD-5026"/>
    <x v="2"/>
    <x v="7"/>
    <x v="328"/>
    <x v="469"/>
    <n v="4"/>
    <n v="0.01"/>
    <n v="301.32"/>
  </r>
  <r>
    <s v="ORD-1471"/>
    <x v="471"/>
    <x v="471"/>
    <x v="0"/>
    <s v="CUST-3848"/>
    <s v="Customer 18"/>
    <x v="1"/>
    <s v="United States"/>
    <s v="Miami"/>
    <x v="6"/>
    <n v="31428"/>
    <x v="0"/>
    <s v="PROD-4908"/>
    <x v="1"/>
    <x v="10"/>
    <x v="329"/>
    <x v="470"/>
    <n v="10"/>
    <n v="0.2"/>
    <n v="1017.55"/>
  </r>
  <r>
    <s v="ORD-1472"/>
    <x v="472"/>
    <x v="472"/>
    <x v="1"/>
    <s v="CUST-2538"/>
    <s v="Customer 330"/>
    <x v="0"/>
    <s v="United States"/>
    <s v="Dallas"/>
    <x v="1"/>
    <n v="22185"/>
    <x v="0"/>
    <s v="PROD-6802"/>
    <x v="1"/>
    <x v="2"/>
    <x v="330"/>
    <x v="471"/>
    <n v="4"/>
    <n v="0.77"/>
    <n v="1573.05"/>
  </r>
  <r>
    <s v="ORD-1473"/>
    <x v="473"/>
    <x v="473"/>
    <x v="2"/>
    <s v="CUST-7849"/>
    <s v="Customer 240"/>
    <x v="1"/>
    <s v="United States"/>
    <s v="Phoenix"/>
    <x v="7"/>
    <n v="12161"/>
    <x v="1"/>
    <s v="PROD-6962"/>
    <x v="2"/>
    <x v="7"/>
    <x v="289"/>
    <x v="472"/>
    <n v="9"/>
    <n v="0.5"/>
    <n v="799.76"/>
  </r>
  <r>
    <s v="ORD-1474"/>
    <x v="474"/>
    <x v="474"/>
    <x v="2"/>
    <s v="CUST-7013"/>
    <s v="Customer 330"/>
    <x v="2"/>
    <s v="United States"/>
    <s v="New York"/>
    <x v="3"/>
    <n v="26401"/>
    <x v="1"/>
    <s v="PROD-7072"/>
    <x v="0"/>
    <x v="9"/>
    <x v="331"/>
    <x v="473"/>
    <n v="13"/>
    <n v="0.57999999999999996"/>
    <n v="2265.58"/>
  </r>
  <r>
    <s v="ORD-1475"/>
    <x v="475"/>
    <x v="475"/>
    <x v="1"/>
    <s v="CUST-2837"/>
    <s v="Customer 249"/>
    <x v="0"/>
    <s v="United States"/>
    <s v="Phoenix"/>
    <x v="3"/>
    <n v="77544"/>
    <x v="2"/>
    <s v="PROD-5729"/>
    <x v="1"/>
    <x v="3"/>
    <x v="332"/>
    <x v="474"/>
    <n v="4"/>
    <n v="0.04"/>
    <n v="606.46"/>
  </r>
  <r>
    <s v="ORD-1476"/>
    <x v="476"/>
    <x v="476"/>
    <x v="3"/>
    <s v="CUST-3835"/>
    <s v="Customer 440"/>
    <x v="2"/>
    <s v="United States"/>
    <s v="Dallas"/>
    <x v="8"/>
    <n v="35587"/>
    <x v="3"/>
    <s v="PROD-3332"/>
    <x v="0"/>
    <x v="0"/>
    <x v="333"/>
    <x v="475"/>
    <n v="7"/>
    <n v="0.84"/>
    <n v="-32.96"/>
  </r>
  <r>
    <s v="ORD-1477"/>
    <x v="477"/>
    <x v="477"/>
    <x v="1"/>
    <s v="CUST-5054"/>
    <s v="Customer 494"/>
    <x v="0"/>
    <s v="United States"/>
    <s v="New York"/>
    <x v="4"/>
    <n v="27314"/>
    <x v="0"/>
    <s v="PROD-7877"/>
    <x v="2"/>
    <x v="5"/>
    <x v="334"/>
    <x v="476"/>
    <n v="7"/>
    <n v="0.11"/>
    <n v="192.95"/>
  </r>
  <r>
    <s v="ORD-1478"/>
    <x v="478"/>
    <x v="478"/>
    <x v="2"/>
    <s v="CUST-5022"/>
    <s v="Customer 403"/>
    <x v="0"/>
    <s v="United States"/>
    <s v="Denver"/>
    <x v="8"/>
    <n v="39991"/>
    <x v="2"/>
    <s v="PROD-4613"/>
    <x v="1"/>
    <x v="4"/>
    <x v="335"/>
    <x v="477"/>
    <n v="10"/>
    <n v="0.52"/>
    <n v="358.92"/>
  </r>
  <r>
    <s v="ORD-1479"/>
    <x v="479"/>
    <x v="479"/>
    <x v="0"/>
    <s v="CUST-5207"/>
    <s v="Customer 344"/>
    <x v="2"/>
    <s v="United States"/>
    <s v="Phoenix"/>
    <x v="8"/>
    <n v="18549"/>
    <x v="1"/>
    <s v="PROD-4559"/>
    <x v="1"/>
    <x v="4"/>
    <x v="281"/>
    <x v="478"/>
    <n v="9"/>
    <n v="0.84"/>
    <n v="-222.29"/>
  </r>
  <r>
    <s v="ORD-1480"/>
    <x v="480"/>
    <x v="480"/>
    <x v="2"/>
    <s v="CUST-7091"/>
    <s v="Customer 234"/>
    <x v="2"/>
    <s v="United States"/>
    <s v="New York"/>
    <x v="2"/>
    <n v="83792"/>
    <x v="3"/>
    <s v="PROD-8747"/>
    <x v="2"/>
    <x v="5"/>
    <x v="336"/>
    <x v="479"/>
    <n v="3"/>
    <n v="0.73"/>
    <n v="976.45"/>
  </r>
  <r>
    <s v="ORD-1481"/>
    <x v="481"/>
    <x v="481"/>
    <x v="2"/>
    <s v="CUST-8828"/>
    <s v="Customer 140"/>
    <x v="1"/>
    <s v="United States"/>
    <s v="Seattle"/>
    <x v="3"/>
    <n v="45351"/>
    <x v="2"/>
    <s v="PROD-2352"/>
    <x v="1"/>
    <x v="2"/>
    <x v="238"/>
    <x v="480"/>
    <n v="9"/>
    <n v="0.79"/>
    <n v="1062.9100000000001"/>
  </r>
  <r>
    <s v="ORD-1482"/>
    <x v="482"/>
    <x v="482"/>
    <x v="1"/>
    <s v="CUST-1429"/>
    <s v="Customer 245"/>
    <x v="2"/>
    <s v="United States"/>
    <s v="Miami"/>
    <x v="5"/>
    <n v="97271"/>
    <x v="3"/>
    <s v="PROD-7884"/>
    <x v="2"/>
    <x v="5"/>
    <x v="337"/>
    <x v="481"/>
    <n v="8"/>
    <n v="0.09"/>
    <n v="1613.64"/>
  </r>
  <r>
    <s v="ORD-1483"/>
    <x v="483"/>
    <x v="483"/>
    <x v="2"/>
    <s v="CUST-6571"/>
    <s v="Customer 453"/>
    <x v="1"/>
    <s v="United States"/>
    <s v="Miami"/>
    <x v="7"/>
    <n v="86538"/>
    <x v="1"/>
    <s v="PROD-5272"/>
    <x v="1"/>
    <x v="10"/>
    <x v="108"/>
    <x v="482"/>
    <n v="4"/>
    <n v="0.17"/>
    <n v="538.29999999999995"/>
  </r>
  <r>
    <s v="ORD-1484"/>
    <x v="484"/>
    <x v="484"/>
    <x v="3"/>
    <s v="CUST-2174"/>
    <s v="Customer 56"/>
    <x v="2"/>
    <s v="United States"/>
    <s v="Seattle"/>
    <x v="4"/>
    <n v="14283"/>
    <x v="1"/>
    <s v="PROD-1535"/>
    <x v="0"/>
    <x v="0"/>
    <x v="207"/>
    <x v="483"/>
    <n v="14"/>
    <n v="0.55000000000000004"/>
    <n v="411.27"/>
  </r>
  <r>
    <s v="ORD-1485"/>
    <x v="485"/>
    <x v="485"/>
    <x v="2"/>
    <s v="CUST-2114"/>
    <s v="Customer 278"/>
    <x v="1"/>
    <s v="United States"/>
    <s v="Seattle"/>
    <x v="5"/>
    <n v="51208"/>
    <x v="3"/>
    <s v="PROD-9889"/>
    <x v="2"/>
    <x v="6"/>
    <x v="164"/>
    <x v="484"/>
    <n v="6"/>
    <n v="0.12"/>
    <n v="183.61"/>
  </r>
  <r>
    <s v="ORD-1486"/>
    <x v="486"/>
    <x v="486"/>
    <x v="1"/>
    <s v="CUST-8500"/>
    <s v="Customer 291"/>
    <x v="0"/>
    <s v="United States"/>
    <s v="Miami"/>
    <x v="8"/>
    <n v="53601"/>
    <x v="0"/>
    <s v="PROD-1507"/>
    <x v="1"/>
    <x v="4"/>
    <x v="209"/>
    <x v="485"/>
    <n v="6"/>
    <n v="0.72"/>
    <n v="1042.17"/>
  </r>
  <r>
    <s v="ORD-1487"/>
    <x v="487"/>
    <x v="487"/>
    <x v="0"/>
    <s v="CUST-5180"/>
    <s v="Customer 293"/>
    <x v="0"/>
    <s v="United States"/>
    <s v="Los Angeles"/>
    <x v="0"/>
    <n v="66181"/>
    <x v="2"/>
    <s v="PROD-8885"/>
    <x v="0"/>
    <x v="0"/>
    <x v="338"/>
    <x v="486"/>
    <n v="3"/>
    <n v="7.0000000000000007E-2"/>
    <n v="2394.42"/>
  </r>
  <r>
    <s v="ORD-1488"/>
    <x v="488"/>
    <x v="488"/>
    <x v="1"/>
    <s v="CUST-3846"/>
    <s v="Customer 69"/>
    <x v="0"/>
    <s v="United States"/>
    <s v="Seattle"/>
    <x v="1"/>
    <n v="27863"/>
    <x v="0"/>
    <s v="PROD-7263"/>
    <x v="2"/>
    <x v="6"/>
    <x v="326"/>
    <x v="487"/>
    <n v="13"/>
    <n v="0.53"/>
    <n v="303.2"/>
  </r>
  <r>
    <s v="ORD-1489"/>
    <x v="489"/>
    <x v="489"/>
    <x v="2"/>
    <s v="CUST-4685"/>
    <s v="Customer 257"/>
    <x v="2"/>
    <s v="United States"/>
    <s v="Seattle"/>
    <x v="7"/>
    <n v="94247"/>
    <x v="0"/>
    <s v="PROD-2678"/>
    <x v="1"/>
    <x v="2"/>
    <x v="339"/>
    <x v="488"/>
    <n v="3"/>
    <n v="0.68"/>
    <n v="1217.45"/>
  </r>
  <r>
    <s v="ORD-1490"/>
    <x v="490"/>
    <x v="490"/>
    <x v="1"/>
    <s v="CUST-5505"/>
    <s v="Customer 230"/>
    <x v="2"/>
    <s v="United States"/>
    <s v="Los Angeles"/>
    <x v="6"/>
    <n v="59593"/>
    <x v="1"/>
    <s v="PROD-2050"/>
    <x v="1"/>
    <x v="10"/>
    <x v="295"/>
    <x v="489"/>
    <n v="9"/>
    <n v="0.79"/>
    <n v="1298.8"/>
  </r>
  <r>
    <s v="ORD-1491"/>
    <x v="491"/>
    <x v="491"/>
    <x v="0"/>
    <s v="CUST-8060"/>
    <s v="Customer 25"/>
    <x v="1"/>
    <s v="United States"/>
    <s v="Houston"/>
    <x v="6"/>
    <n v="43636"/>
    <x v="2"/>
    <s v="PROD-5491"/>
    <x v="1"/>
    <x v="2"/>
    <x v="340"/>
    <x v="490"/>
    <n v="4"/>
    <n v="0.44"/>
    <n v="1685.48"/>
  </r>
  <r>
    <s v="ORD-1492"/>
    <x v="492"/>
    <x v="492"/>
    <x v="1"/>
    <s v="CUST-8770"/>
    <s v="Customer 494"/>
    <x v="1"/>
    <s v="United States"/>
    <s v="Miami"/>
    <x v="5"/>
    <n v="67623"/>
    <x v="2"/>
    <s v="PROD-9138"/>
    <x v="2"/>
    <x v="6"/>
    <x v="206"/>
    <x v="491"/>
    <n v="3"/>
    <n v="0.54"/>
    <n v="266.35000000000002"/>
  </r>
  <r>
    <s v="ORD-1493"/>
    <x v="493"/>
    <x v="493"/>
    <x v="3"/>
    <s v="CUST-4619"/>
    <s v="Customer 379"/>
    <x v="0"/>
    <s v="United States"/>
    <s v="Phoenix"/>
    <x v="2"/>
    <n v="56891"/>
    <x v="2"/>
    <s v="PROD-3422"/>
    <x v="0"/>
    <x v="1"/>
    <x v="115"/>
    <x v="492"/>
    <n v="13"/>
    <n v="0.09"/>
    <n v="116.82"/>
  </r>
  <r>
    <s v="ORD-1494"/>
    <x v="494"/>
    <x v="494"/>
    <x v="2"/>
    <s v="CUST-3173"/>
    <s v="Customer 436"/>
    <x v="2"/>
    <s v="United States"/>
    <s v="Houston"/>
    <x v="5"/>
    <n v="28072"/>
    <x v="2"/>
    <s v="PROD-1684"/>
    <x v="1"/>
    <x v="3"/>
    <x v="341"/>
    <x v="493"/>
    <n v="2"/>
    <n v="0.49"/>
    <n v="1065.69"/>
  </r>
  <r>
    <s v="ORD-1495"/>
    <x v="495"/>
    <x v="495"/>
    <x v="3"/>
    <s v="CUST-3295"/>
    <s v="Customer 15"/>
    <x v="0"/>
    <s v="United States"/>
    <s v="Denver"/>
    <x v="6"/>
    <n v="41457"/>
    <x v="0"/>
    <s v="PROD-6641"/>
    <x v="1"/>
    <x v="10"/>
    <x v="342"/>
    <x v="494"/>
    <n v="1"/>
    <n v="0.37"/>
    <n v="35.42"/>
  </r>
  <r>
    <s v="ORD-1496"/>
    <x v="496"/>
    <x v="496"/>
    <x v="1"/>
    <s v="CUST-3426"/>
    <s v="Customer 490"/>
    <x v="2"/>
    <s v="United States"/>
    <s v="Seattle"/>
    <x v="1"/>
    <n v="62718"/>
    <x v="1"/>
    <s v="PROD-7276"/>
    <x v="2"/>
    <x v="6"/>
    <x v="343"/>
    <x v="495"/>
    <n v="2"/>
    <n v="0.56000000000000005"/>
    <n v="1408.98"/>
  </r>
  <r>
    <s v="ORD-1497"/>
    <x v="497"/>
    <x v="497"/>
    <x v="1"/>
    <s v="CUST-4463"/>
    <s v="Customer 331"/>
    <x v="0"/>
    <s v="United States"/>
    <s v="New York"/>
    <x v="7"/>
    <n v="44486"/>
    <x v="3"/>
    <s v="PROD-3153"/>
    <x v="2"/>
    <x v="11"/>
    <x v="220"/>
    <x v="496"/>
    <n v="9"/>
    <n v="0.34"/>
    <n v="858.58"/>
  </r>
  <r>
    <s v="ORD-1498"/>
    <x v="498"/>
    <x v="498"/>
    <x v="0"/>
    <s v="CUST-7805"/>
    <s v="Customer 121"/>
    <x v="1"/>
    <s v="United States"/>
    <s v="Seattle"/>
    <x v="7"/>
    <n v="93015"/>
    <x v="2"/>
    <s v="PROD-6838"/>
    <x v="2"/>
    <x v="5"/>
    <x v="344"/>
    <x v="497"/>
    <n v="14"/>
    <n v="0.24"/>
    <n v="-625.71"/>
  </r>
  <r>
    <s v="ORD-1499"/>
    <x v="499"/>
    <x v="499"/>
    <x v="0"/>
    <s v="CUST-8936"/>
    <s v="Customer 403"/>
    <x v="0"/>
    <s v="United States"/>
    <s v="Houston"/>
    <x v="7"/>
    <n v="56659"/>
    <x v="0"/>
    <s v="PROD-8725"/>
    <x v="1"/>
    <x v="4"/>
    <x v="345"/>
    <x v="498"/>
    <n v="10"/>
    <n v="0.57999999999999996"/>
    <n v="-639.34"/>
  </r>
  <r>
    <s v="ORD-1500"/>
    <x v="500"/>
    <x v="500"/>
    <x v="0"/>
    <s v="CUST-1403"/>
    <s v="Customer 371"/>
    <x v="1"/>
    <s v="United States"/>
    <s v="Houston"/>
    <x v="2"/>
    <n v="75240"/>
    <x v="1"/>
    <s v="PROD-1972"/>
    <x v="2"/>
    <x v="6"/>
    <x v="249"/>
    <x v="499"/>
    <n v="3"/>
    <n v="0.03"/>
    <n v="-452.62"/>
  </r>
  <r>
    <s v="ORD-1501"/>
    <x v="501"/>
    <x v="501"/>
    <x v="3"/>
    <s v="CUST-4006"/>
    <s v="Customer 450"/>
    <x v="1"/>
    <s v="United States"/>
    <s v="Denver"/>
    <x v="5"/>
    <n v="30413"/>
    <x v="1"/>
    <s v="PROD-9611"/>
    <x v="0"/>
    <x v="1"/>
    <x v="346"/>
    <x v="500"/>
    <n v="8"/>
    <n v="0.82"/>
    <n v="-4.83"/>
  </r>
  <r>
    <s v="ORD-1502"/>
    <x v="502"/>
    <x v="502"/>
    <x v="3"/>
    <s v="CUST-4382"/>
    <s v="Customer 414"/>
    <x v="1"/>
    <s v="United States"/>
    <s v="Dallas"/>
    <x v="2"/>
    <n v="17265"/>
    <x v="1"/>
    <s v="PROD-6082"/>
    <x v="0"/>
    <x v="9"/>
    <x v="347"/>
    <x v="501"/>
    <n v="14"/>
    <n v="0.56999999999999995"/>
    <n v="-41.65"/>
  </r>
  <r>
    <s v="ORD-1503"/>
    <x v="503"/>
    <x v="503"/>
    <x v="1"/>
    <s v="CUST-3700"/>
    <s v="Customer 363"/>
    <x v="1"/>
    <s v="United States"/>
    <s v="Denver"/>
    <x v="6"/>
    <n v="11588"/>
    <x v="0"/>
    <s v="PROD-1350"/>
    <x v="2"/>
    <x v="6"/>
    <x v="345"/>
    <x v="502"/>
    <n v="11"/>
    <n v="0.05"/>
    <n v="246.64"/>
  </r>
  <r>
    <s v="ORD-1504"/>
    <x v="504"/>
    <x v="504"/>
    <x v="2"/>
    <s v="CUST-5145"/>
    <s v="Customer 165"/>
    <x v="1"/>
    <s v="United States"/>
    <s v="Chicago"/>
    <x v="2"/>
    <n v="84496"/>
    <x v="1"/>
    <s v="PROD-5428"/>
    <x v="1"/>
    <x v="10"/>
    <x v="101"/>
    <x v="503"/>
    <n v="4"/>
    <n v="0.85"/>
    <n v="1599.31"/>
  </r>
  <r>
    <s v="ORD-1505"/>
    <x v="505"/>
    <x v="505"/>
    <x v="3"/>
    <s v="CUST-2123"/>
    <s v="Customer 213"/>
    <x v="0"/>
    <s v="United States"/>
    <s v="Seattle"/>
    <x v="4"/>
    <n v="44375"/>
    <x v="2"/>
    <s v="PROD-9380"/>
    <x v="0"/>
    <x v="9"/>
    <x v="35"/>
    <x v="504"/>
    <n v="3"/>
    <n v="0.26"/>
    <n v="2220.7600000000002"/>
  </r>
  <r>
    <s v="ORD-1506"/>
    <x v="506"/>
    <x v="506"/>
    <x v="1"/>
    <s v="CUST-8728"/>
    <s v="Customer 209"/>
    <x v="0"/>
    <s v="United States"/>
    <s v="Chicago"/>
    <x v="5"/>
    <n v="22632"/>
    <x v="1"/>
    <s v="PROD-7746"/>
    <x v="0"/>
    <x v="8"/>
    <x v="348"/>
    <x v="505"/>
    <n v="12"/>
    <n v="0.83"/>
    <n v="-160.82"/>
  </r>
  <r>
    <s v="ORD-1507"/>
    <x v="507"/>
    <x v="507"/>
    <x v="1"/>
    <s v="CUST-1768"/>
    <s v="Customer 209"/>
    <x v="2"/>
    <s v="United States"/>
    <s v="Miami"/>
    <x v="3"/>
    <n v="72603"/>
    <x v="1"/>
    <s v="PROD-8685"/>
    <x v="0"/>
    <x v="1"/>
    <x v="349"/>
    <x v="506"/>
    <n v="9"/>
    <n v="0.7"/>
    <n v="-389.44"/>
  </r>
  <r>
    <s v="ORD-1508"/>
    <x v="508"/>
    <x v="508"/>
    <x v="1"/>
    <s v="CUST-1271"/>
    <s v="Customer 441"/>
    <x v="0"/>
    <s v="United States"/>
    <s v="Chicago"/>
    <x v="4"/>
    <n v="15388"/>
    <x v="0"/>
    <s v="PROD-9869"/>
    <x v="0"/>
    <x v="9"/>
    <x v="31"/>
    <x v="507"/>
    <n v="1"/>
    <n v="0.63"/>
    <n v="-25.81"/>
  </r>
  <r>
    <s v="ORD-1509"/>
    <x v="509"/>
    <x v="509"/>
    <x v="0"/>
    <s v="CUST-3726"/>
    <s v="Customer 479"/>
    <x v="0"/>
    <s v="United States"/>
    <s v="New York"/>
    <x v="7"/>
    <n v="85922"/>
    <x v="1"/>
    <s v="PROD-6614"/>
    <x v="1"/>
    <x v="2"/>
    <x v="71"/>
    <x v="508"/>
    <n v="14"/>
    <n v="0.09"/>
    <n v="-220.9"/>
  </r>
  <r>
    <s v="ORD-1510"/>
    <x v="510"/>
    <x v="510"/>
    <x v="0"/>
    <s v="CUST-5255"/>
    <s v="Customer 126"/>
    <x v="2"/>
    <s v="United States"/>
    <s v="Dallas"/>
    <x v="4"/>
    <n v="64216"/>
    <x v="0"/>
    <s v="PROD-4390"/>
    <x v="1"/>
    <x v="10"/>
    <x v="350"/>
    <x v="509"/>
    <n v="13"/>
    <n v="0.65"/>
    <n v="134.15"/>
  </r>
  <r>
    <s v="ORD-1511"/>
    <x v="511"/>
    <x v="511"/>
    <x v="3"/>
    <s v="CUST-8993"/>
    <s v="Customer 269"/>
    <x v="0"/>
    <s v="United States"/>
    <s v="Dallas"/>
    <x v="5"/>
    <n v="22018"/>
    <x v="0"/>
    <s v="PROD-2185"/>
    <x v="0"/>
    <x v="0"/>
    <x v="347"/>
    <x v="510"/>
    <n v="14"/>
    <n v="0.48"/>
    <n v="168.57"/>
  </r>
  <r>
    <s v="ORD-1512"/>
    <x v="512"/>
    <x v="512"/>
    <x v="0"/>
    <s v="CUST-9100"/>
    <s v="Customer 486"/>
    <x v="2"/>
    <s v="United States"/>
    <s v="Seattle"/>
    <x v="8"/>
    <n v="19540"/>
    <x v="2"/>
    <s v="PROD-6402"/>
    <x v="0"/>
    <x v="1"/>
    <x v="351"/>
    <x v="511"/>
    <n v="10"/>
    <n v="0.12"/>
    <n v="-27.89"/>
  </r>
  <r>
    <s v="ORD-1513"/>
    <x v="513"/>
    <x v="513"/>
    <x v="0"/>
    <s v="CUST-9397"/>
    <s v="Customer 459"/>
    <x v="0"/>
    <s v="United States"/>
    <s v="Phoenix"/>
    <x v="7"/>
    <n v="32416"/>
    <x v="1"/>
    <s v="PROD-4165"/>
    <x v="1"/>
    <x v="4"/>
    <x v="210"/>
    <x v="512"/>
    <n v="10"/>
    <n v="0.26"/>
    <n v="495.4"/>
  </r>
  <r>
    <s v="ORD-1514"/>
    <x v="514"/>
    <x v="514"/>
    <x v="1"/>
    <s v="CUST-7221"/>
    <s v="Customer 499"/>
    <x v="1"/>
    <s v="United States"/>
    <s v="Miami"/>
    <x v="4"/>
    <n v="64495"/>
    <x v="0"/>
    <s v="PROD-7403"/>
    <x v="1"/>
    <x v="2"/>
    <x v="298"/>
    <x v="513"/>
    <n v="11"/>
    <n v="0.81"/>
    <n v="1213.04"/>
  </r>
  <r>
    <s v="ORD-1515"/>
    <x v="515"/>
    <x v="515"/>
    <x v="1"/>
    <s v="CUST-6415"/>
    <s v="Customer 345"/>
    <x v="2"/>
    <s v="United States"/>
    <s v="Phoenix"/>
    <x v="0"/>
    <n v="40434"/>
    <x v="0"/>
    <s v="PROD-7611"/>
    <x v="0"/>
    <x v="1"/>
    <x v="119"/>
    <x v="514"/>
    <n v="14"/>
    <n v="0.8"/>
    <n v="2119.46"/>
  </r>
  <r>
    <s v="ORD-1516"/>
    <x v="516"/>
    <x v="516"/>
    <x v="2"/>
    <s v="CUST-6537"/>
    <s v="Customer 314"/>
    <x v="0"/>
    <s v="United States"/>
    <s v="Seattle"/>
    <x v="5"/>
    <n v="57635"/>
    <x v="3"/>
    <s v="PROD-5806"/>
    <x v="2"/>
    <x v="6"/>
    <x v="352"/>
    <x v="515"/>
    <n v="8"/>
    <n v="0.17"/>
    <n v="196.76"/>
  </r>
  <r>
    <s v="ORD-1517"/>
    <x v="517"/>
    <x v="517"/>
    <x v="2"/>
    <s v="CUST-2414"/>
    <s v="Customer 393"/>
    <x v="1"/>
    <s v="United States"/>
    <s v="Denver"/>
    <x v="3"/>
    <n v="39309"/>
    <x v="1"/>
    <s v="PROD-9685"/>
    <x v="2"/>
    <x v="11"/>
    <x v="353"/>
    <x v="516"/>
    <n v="10"/>
    <n v="0.83"/>
    <n v="955.38"/>
  </r>
  <r>
    <s v="ORD-1518"/>
    <x v="518"/>
    <x v="518"/>
    <x v="0"/>
    <s v="CUST-4971"/>
    <s v="Customer 432"/>
    <x v="1"/>
    <s v="United States"/>
    <s v="Houston"/>
    <x v="3"/>
    <n v="47585"/>
    <x v="1"/>
    <s v="PROD-3687"/>
    <x v="2"/>
    <x v="5"/>
    <x v="354"/>
    <x v="517"/>
    <n v="13"/>
    <n v="0.1"/>
    <n v="319.08"/>
  </r>
  <r>
    <s v="ORD-1519"/>
    <x v="519"/>
    <x v="519"/>
    <x v="2"/>
    <s v="CUST-1931"/>
    <s v="Customer 372"/>
    <x v="0"/>
    <s v="United States"/>
    <s v="Dallas"/>
    <x v="1"/>
    <n v="68643"/>
    <x v="0"/>
    <s v="PROD-6391"/>
    <x v="2"/>
    <x v="6"/>
    <x v="285"/>
    <x v="518"/>
    <n v="14"/>
    <n v="0.43"/>
    <n v="51.87"/>
  </r>
  <r>
    <s v="ORD-1520"/>
    <x v="520"/>
    <x v="520"/>
    <x v="3"/>
    <s v="CUST-2635"/>
    <s v="Customer 193"/>
    <x v="2"/>
    <s v="United States"/>
    <s v="Seattle"/>
    <x v="1"/>
    <n v="25613"/>
    <x v="0"/>
    <s v="PROD-9677"/>
    <x v="1"/>
    <x v="2"/>
    <x v="355"/>
    <x v="519"/>
    <n v="5"/>
    <n v="0.66"/>
    <n v="1201.42"/>
  </r>
  <r>
    <s v="ORD-1521"/>
    <x v="521"/>
    <x v="521"/>
    <x v="0"/>
    <s v="CUST-8443"/>
    <s v="Customer 234"/>
    <x v="0"/>
    <s v="United States"/>
    <s v="Phoenix"/>
    <x v="4"/>
    <n v="33199"/>
    <x v="1"/>
    <s v="PROD-5640"/>
    <x v="1"/>
    <x v="10"/>
    <x v="356"/>
    <x v="520"/>
    <n v="10"/>
    <n v="0.81"/>
    <n v="680.99"/>
  </r>
  <r>
    <s v="ORD-1522"/>
    <x v="522"/>
    <x v="522"/>
    <x v="1"/>
    <s v="CUST-7771"/>
    <s v="Customer 31"/>
    <x v="2"/>
    <s v="United States"/>
    <s v="Dallas"/>
    <x v="7"/>
    <n v="24566"/>
    <x v="3"/>
    <s v="PROD-4492"/>
    <x v="2"/>
    <x v="5"/>
    <x v="267"/>
    <x v="521"/>
    <n v="3"/>
    <n v="0.27"/>
    <n v="-64.98"/>
  </r>
  <r>
    <s v="ORD-1523"/>
    <x v="523"/>
    <x v="523"/>
    <x v="3"/>
    <s v="CUST-5743"/>
    <s v="Customer 309"/>
    <x v="1"/>
    <s v="United States"/>
    <s v="Chicago"/>
    <x v="5"/>
    <n v="36108"/>
    <x v="0"/>
    <s v="PROD-7932"/>
    <x v="0"/>
    <x v="0"/>
    <x v="240"/>
    <x v="522"/>
    <n v="11"/>
    <n v="0.87"/>
    <n v="-223.86"/>
  </r>
  <r>
    <s v="ORD-1524"/>
    <x v="524"/>
    <x v="524"/>
    <x v="1"/>
    <s v="CUST-4040"/>
    <s v="Customer 38"/>
    <x v="1"/>
    <s v="United States"/>
    <s v="Seattle"/>
    <x v="3"/>
    <n v="51687"/>
    <x v="1"/>
    <s v="PROD-1644"/>
    <x v="1"/>
    <x v="3"/>
    <x v="223"/>
    <x v="523"/>
    <n v="5"/>
    <n v="0.63"/>
    <n v="713.14"/>
  </r>
  <r>
    <s v="ORD-1525"/>
    <x v="525"/>
    <x v="525"/>
    <x v="0"/>
    <s v="CUST-6192"/>
    <s v="Customer 433"/>
    <x v="2"/>
    <s v="United States"/>
    <s v="Chicago"/>
    <x v="8"/>
    <n v="17583"/>
    <x v="1"/>
    <s v="PROD-2328"/>
    <x v="1"/>
    <x v="3"/>
    <x v="279"/>
    <x v="524"/>
    <n v="9"/>
    <n v="0.49"/>
    <n v="-187.84"/>
  </r>
  <r>
    <s v="ORD-1526"/>
    <x v="526"/>
    <x v="526"/>
    <x v="0"/>
    <s v="CUST-9014"/>
    <s v="Customer 277"/>
    <x v="2"/>
    <s v="United States"/>
    <s v="Houston"/>
    <x v="2"/>
    <n v="64976"/>
    <x v="2"/>
    <s v="PROD-7515"/>
    <x v="1"/>
    <x v="2"/>
    <x v="42"/>
    <x v="525"/>
    <n v="12"/>
    <n v="0.42"/>
    <n v="16.11"/>
  </r>
  <r>
    <s v="ORD-1527"/>
    <x v="527"/>
    <x v="527"/>
    <x v="1"/>
    <s v="CUST-9201"/>
    <s v="Customer 124"/>
    <x v="2"/>
    <s v="United States"/>
    <s v="Chicago"/>
    <x v="6"/>
    <n v="64146"/>
    <x v="0"/>
    <s v="PROD-9456"/>
    <x v="0"/>
    <x v="9"/>
    <x v="5"/>
    <x v="526"/>
    <n v="3"/>
    <n v="0.24"/>
    <n v="1785.13"/>
  </r>
  <r>
    <s v="ORD-1528"/>
    <x v="528"/>
    <x v="528"/>
    <x v="3"/>
    <s v="CUST-5264"/>
    <s v="Customer 171"/>
    <x v="0"/>
    <s v="United States"/>
    <s v="Seattle"/>
    <x v="2"/>
    <n v="85864"/>
    <x v="3"/>
    <s v="PROD-7535"/>
    <x v="2"/>
    <x v="5"/>
    <x v="284"/>
    <x v="527"/>
    <n v="4"/>
    <n v="0"/>
    <n v="1629.73"/>
  </r>
  <r>
    <s v="ORD-1529"/>
    <x v="529"/>
    <x v="529"/>
    <x v="1"/>
    <s v="CUST-3132"/>
    <s v="Customer 240"/>
    <x v="0"/>
    <s v="United States"/>
    <s v="Dallas"/>
    <x v="2"/>
    <n v="26841"/>
    <x v="0"/>
    <s v="PROD-1889"/>
    <x v="0"/>
    <x v="9"/>
    <x v="59"/>
    <x v="528"/>
    <n v="2"/>
    <n v="0.74"/>
    <n v="-868.74"/>
  </r>
  <r>
    <s v="ORD-1530"/>
    <x v="530"/>
    <x v="530"/>
    <x v="3"/>
    <s v="CUST-7259"/>
    <s v="Customer 5"/>
    <x v="2"/>
    <s v="United States"/>
    <s v="New York"/>
    <x v="7"/>
    <n v="12188"/>
    <x v="1"/>
    <s v="PROD-7187"/>
    <x v="0"/>
    <x v="9"/>
    <x v="241"/>
    <x v="529"/>
    <n v="2"/>
    <n v="0.5"/>
    <n v="889.95"/>
  </r>
  <r>
    <s v="ORD-1531"/>
    <x v="531"/>
    <x v="531"/>
    <x v="1"/>
    <s v="CUST-3518"/>
    <s v="Customer 9"/>
    <x v="2"/>
    <s v="United States"/>
    <s v="Los Angeles"/>
    <x v="8"/>
    <n v="77303"/>
    <x v="0"/>
    <s v="PROD-7140"/>
    <x v="0"/>
    <x v="0"/>
    <x v="357"/>
    <x v="530"/>
    <n v="9"/>
    <n v="0.15"/>
    <n v="35.42"/>
  </r>
  <r>
    <s v="ORD-1532"/>
    <x v="532"/>
    <x v="532"/>
    <x v="1"/>
    <s v="CUST-2289"/>
    <s v="Customer 21"/>
    <x v="1"/>
    <s v="United States"/>
    <s v="Los Angeles"/>
    <x v="8"/>
    <n v="86316"/>
    <x v="3"/>
    <s v="PROD-3195"/>
    <x v="1"/>
    <x v="10"/>
    <x v="358"/>
    <x v="531"/>
    <n v="6"/>
    <n v="0.09"/>
    <n v="180.01"/>
  </r>
  <r>
    <s v="ORD-1533"/>
    <x v="533"/>
    <x v="533"/>
    <x v="2"/>
    <s v="CUST-1120"/>
    <s v="Customer 167"/>
    <x v="0"/>
    <s v="United States"/>
    <s v="Los Angeles"/>
    <x v="3"/>
    <n v="20203"/>
    <x v="2"/>
    <s v="PROD-9951"/>
    <x v="0"/>
    <x v="9"/>
    <x v="359"/>
    <x v="532"/>
    <n v="12"/>
    <n v="0.78"/>
    <n v="-122.43"/>
  </r>
  <r>
    <s v="ORD-1534"/>
    <x v="534"/>
    <x v="534"/>
    <x v="1"/>
    <s v="CUST-8051"/>
    <s v="Customer 477"/>
    <x v="1"/>
    <s v="United States"/>
    <s v="Houston"/>
    <x v="4"/>
    <n v="49521"/>
    <x v="1"/>
    <s v="PROD-4191"/>
    <x v="2"/>
    <x v="7"/>
    <x v="232"/>
    <x v="533"/>
    <n v="8"/>
    <n v="0.4"/>
    <n v="561.75"/>
  </r>
  <r>
    <s v="ORD-1535"/>
    <x v="535"/>
    <x v="535"/>
    <x v="2"/>
    <s v="CUST-7436"/>
    <s v="Customer 220"/>
    <x v="2"/>
    <s v="United States"/>
    <s v="New York"/>
    <x v="0"/>
    <n v="67685"/>
    <x v="0"/>
    <s v="PROD-2960"/>
    <x v="2"/>
    <x v="6"/>
    <x v="310"/>
    <x v="534"/>
    <n v="6"/>
    <n v="0.38"/>
    <n v="148.72"/>
  </r>
  <r>
    <s v="ORD-1536"/>
    <x v="536"/>
    <x v="536"/>
    <x v="1"/>
    <s v="CUST-8114"/>
    <s v="Customer 87"/>
    <x v="1"/>
    <s v="United States"/>
    <s v="Denver"/>
    <x v="8"/>
    <n v="57065"/>
    <x v="1"/>
    <s v="PROD-8655"/>
    <x v="1"/>
    <x v="2"/>
    <x v="86"/>
    <x v="535"/>
    <n v="14"/>
    <n v="0.81"/>
    <n v="707.82"/>
  </r>
  <r>
    <s v="ORD-1537"/>
    <x v="537"/>
    <x v="537"/>
    <x v="3"/>
    <s v="CUST-6604"/>
    <s v="Customer 418"/>
    <x v="0"/>
    <s v="United States"/>
    <s v="Miami"/>
    <x v="8"/>
    <n v="69837"/>
    <x v="3"/>
    <s v="PROD-6885"/>
    <x v="2"/>
    <x v="11"/>
    <x v="360"/>
    <x v="536"/>
    <n v="8"/>
    <n v="0.06"/>
    <n v="2761.51"/>
  </r>
  <r>
    <s v="ORD-1538"/>
    <x v="538"/>
    <x v="538"/>
    <x v="1"/>
    <s v="CUST-1807"/>
    <s v="Customer 421"/>
    <x v="2"/>
    <s v="United States"/>
    <s v="Los Angeles"/>
    <x v="1"/>
    <n v="36124"/>
    <x v="0"/>
    <s v="PROD-5410"/>
    <x v="2"/>
    <x v="6"/>
    <x v="321"/>
    <x v="537"/>
    <n v="4"/>
    <n v="0.39"/>
    <n v="57.27"/>
  </r>
  <r>
    <s v="ORD-1539"/>
    <x v="539"/>
    <x v="539"/>
    <x v="0"/>
    <s v="CUST-7965"/>
    <s v="Customer 126"/>
    <x v="2"/>
    <s v="United States"/>
    <s v="Phoenix"/>
    <x v="7"/>
    <n v="29290"/>
    <x v="0"/>
    <s v="PROD-5203"/>
    <x v="0"/>
    <x v="8"/>
    <x v="29"/>
    <x v="538"/>
    <n v="7"/>
    <n v="0.74"/>
    <n v="2201.4499999999998"/>
  </r>
  <r>
    <s v="ORD-1540"/>
    <x v="540"/>
    <x v="540"/>
    <x v="3"/>
    <s v="CUST-4535"/>
    <s v="Customer 256"/>
    <x v="0"/>
    <s v="United States"/>
    <s v="Miami"/>
    <x v="8"/>
    <n v="50853"/>
    <x v="2"/>
    <s v="PROD-5197"/>
    <x v="1"/>
    <x v="4"/>
    <x v="37"/>
    <x v="539"/>
    <n v="4"/>
    <n v="0.49"/>
    <n v="764.66"/>
  </r>
  <r>
    <s v="ORD-1541"/>
    <x v="541"/>
    <x v="541"/>
    <x v="1"/>
    <s v="CUST-3684"/>
    <s v="Customer 450"/>
    <x v="0"/>
    <s v="United States"/>
    <s v="Phoenix"/>
    <x v="0"/>
    <n v="21657"/>
    <x v="3"/>
    <s v="PROD-8772"/>
    <x v="0"/>
    <x v="1"/>
    <x v="87"/>
    <x v="540"/>
    <n v="3"/>
    <n v="0.41"/>
    <n v="796.75"/>
  </r>
  <r>
    <s v="ORD-1542"/>
    <x v="542"/>
    <x v="542"/>
    <x v="3"/>
    <s v="CUST-6756"/>
    <s v="Customer 363"/>
    <x v="0"/>
    <s v="United States"/>
    <s v="Chicago"/>
    <x v="1"/>
    <n v="86494"/>
    <x v="1"/>
    <s v="PROD-3412"/>
    <x v="1"/>
    <x v="4"/>
    <x v="216"/>
    <x v="541"/>
    <n v="5"/>
    <n v="0.04"/>
    <n v="1645.39"/>
  </r>
  <r>
    <s v="ORD-1543"/>
    <x v="543"/>
    <x v="543"/>
    <x v="1"/>
    <s v="CUST-9400"/>
    <s v="Customer 265"/>
    <x v="1"/>
    <s v="United States"/>
    <s v="Seattle"/>
    <x v="2"/>
    <n v="16437"/>
    <x v="2"/>
    <s v="PROD-7132"/>
    <x v="1"/>
    <x v="3"/>
    <x v="361"/>
    <x v="542"/>
    <n v="11"/>
    <n v="0.52"/>
    <n v="-68.599999999999994"/>
  </r>
  <r>
    <s v="ORD-1544"/>
    <x v="544"/>
    <x v="544"/>
    <x v="1"/>
    <s v="CUST-6654"/>
    <s v="Customer 276"/>
    <x v="1"/>
    <s v="United States"/>
    <s v="Denver"/>
    <x v="2"/>
    <n v="97027"/>
    <x v="2"/>
    <s v="PROD-3484"/>
    <x v="2"/>
    <x v="5"/>
    <x v="265"/>
    <x v="543"/>
    <n v="14"/>
    <n v="0.74"/>
    <n v="-744.88"/>
  </r>
  <r>
    <s v="ORD-1545"/>
    <x v="545"/>
    <x v="545"/>
    <x v="1"/>
    <s v="CUST-1402"/>
    <s v="Customer 129"/>
    <x v="0"/>
    <s v="United States"/>
    <s v="Miami"/>
    <x v="6"/>
    <n v="44107"/>
    <x v="1"/>
    <s v="PROD-6839"/>
    <x v="2"/>
    <x v="11"/>
    <x v="344"/>
    <x v="544"/>
    <n v="9"/>
    <n v="0.31"/>
    <n v="1284.8800000000001"/>
  </r>
  <r>
    <s v="ORD-1546"/>
    <x v="546"/>
    <x v="546"/>
    <x v="2"/>
    <s v="CUST-7175"/>
    <s v="Customer 454"/>
    <x v="1"/>
    <s v="United States"/>
    <s v="Seattle"/>
    <x v="2"/>
    <n v="57999"/>
    <x v="0"/>
    <s v="PROD-5657"/>
    <x v="0"/>
    <x v="0"/>
    <x v="362"/>
    <x v="545"/>
    <n v="6"/>
    <n v="0.33"/>
    <n v="-40.21"/>
  </r>
  <r>
    <s v="ORD-1547"/>
    <x v="547"/>
    <x v="547"/>
    <x v="1"/>
    <s v="CUST-9588"/>
    <s v="Customer 54"/>
    <x v="1"/>
    <s v="United States"/>
    <s v="Chicago"/>
    <x v="3"/>
    <n v="61559"/>
    <x v="2"/>
    <s v="PROD-9814"/>
    <x v="0"/>
    <x v="9"/>
    <x v="113"/>
    <x v="546"/>
    <n v="5"/>
    <n v="0.16"/>
    <n v="913.62"/>
  </r>
  <r>
    <s v="ORD-1548"/>
    <x v="548"/>
    <x v="548"/>
    <x v="1"/>
    <s v="CUST-6847"/>
    <s v="Customer 394"/>
    <x v="1"/>
    <s v="United States"/>
    <s v="New York"/>
    <x v="4"/>
    <n v="88127"/>
    <x v="3"/>
    <s v="PROD-7668"/>
    <x v="0"/>
    <x v="0"/>
    <x v="121"/>
    <x v="547"/>
    <n v="13"/>
    <n v="0.15"/>
    <n v="384.43"/>
  </r>
  <r>
    <s v="ORD-1549"/>
    <x v="549"/>
    <x v="549"/>
    <x v="0"/>
    <s v="CUST-7768"/>
    <s v="Customer 472"/>
    <x v="1"/>
    <s v="United States"/>
    <s v="Seattle"/>
    <x v="8"/>
    <n v="32010"/>
    <x v="0"/>
    <s v="PROD-5910"/>
    <x v="2"/>
    <x v="7"/>
    <x v="198"/>
    <x v="548"/>
    <n v="6"/>
    <n v="0.53"/>
    <n v="-71.209999999999994"/>
  </r>
  <r>
    <s v="ORD-1550"/>
    <x v="550"/>
    <x v="550"/>
    <x v="0"/>
    <s v="CUST-4392"/>
    <s v="Customer 44"/>
    <x v="0"/>
    <s v="United States"/>
    <s v="Seattle"/>
    <x v="7"/>
    <n v="42407"/>
    <x v="1"/>
    <s v="PROD-7679"/>
    <x v="0"/>
    <x v="1"/>
    <x v="0"/>
    <x v="549"/>
    <n v="10"/>
    <n v="0.51"/>
    <n v="-324.26"/>
  </r>
  <r>
    <s v="ORD-1551"/>
    <x v="551"/>
    <x v="551"/>
    <x v="1"/>
    <s v="CUST-1314"/>
    <s v="Customer 123"/>
    <x v="0"/>
    <s v="United States"/>
    <s v="Phoenix"/>
    <x v="2"/>
    <n v="19576"/>
    <x v="2"/>
    <s v="PROD-4543"/>
    <x v="0"/>
    <x v="8"/>
    <x v="363"/>
    <x v="550"/>
    <n v="14"/>
    <n v="0.78"/>
    <n v="2625.45"/>
  </r>
  <r>
    <s v="ORD-1552"/>
    <x v="552"/>
    <x v="552"/>
    <x v="3"/>
    <s v="CUST-2173"/>
    <s v="Customer 177"/>
    <x v="1"/>
    <s v="United States"/>
    <s v="Houston"/>
    <x v="4"/>
    <n v="44271"/>
    <x v="3"/>
    <s v="PROD-9675"/>
    <x v="1"/>
    <x v="10"/>
    <x v="121"/>
    <x v="551"/>
    <n v="6"/>
    <n v="0.85"/>
    <n v="1789.45"/>
  </r>
  <r>
    <s v="ORD-1553"/>
    <x v="553"/>
    <x v="553"/>
    <x v="1"/>
    <s v="CUST-8529"/>
    <s v="Customer 186"/>
    <x v="2"/>
    <s v="United States"/>
    <s v="Miami"/>
    <x v="1"/>
    <n v="57168"/>
    <x v="2"/>
    <s v="PROD-5607"/>
    <x v="1"/>
    <x v="10"/>
    <x v="364"/>
    <x v="552"/>
    <n v="14"/>
    <n v="0.64"/>
    <n v="-161.29"/>
  </r>
  <r>
    <s v="ORD-1554"/>
    <x v="554"/>
    <x v="554"/>
    <x v="1"/>
    <s v="CUST-3477"/>
    <s v="Customer 431"/>
    <x v="2"/>
    <s v="United States"/>
    <s v="Miami"/>
    <x v="6"/>
    <n v="77815"/>
    <x v="1"/>
    <s v="PROD-4169"/>
    <x v="0"/>
    <x v="8"/>
    <x v="29"/>
    <x v="553"/>
    <n v="6"/>
    <n v="0.52"/>
    <n v="-88.56"/>
  </r>
  <r>
    <s v="ORD-1555"/>
    <x v="555"/>
    <x v="555"/>
    <x v="3"/>
    <s v="CUST-7433"/>
    <s v="Customer 76"/>
    <x v="1"/>
    <s v="United States"/>
    <s v="Chicago"/>
    <x v="7"/>
    <n v="47714"/>
    <x v="2"/>
    <s v="PROD-3473"/>
    <x v="1"/>
    <x v="2"/>
    <x v="347"/>
    <x v="554"/>
    <n v="5"/>
    <n v="0.82"/>
    <n v="1662.78"/>
  </r>
  <r>
    <s v="ORD-1556"/>
    <x v="556"/>
    <x v="556"/>
    <x v="3"/>
    <s v="CUST-8925"/>
    <s v="Customer 466"/>
    <x v="1"/>
    <s v="United States"/>
    <s v="Dallas"/>
    <x v="8"/>
    <n v="82102"/>
    <x v="3"/>
    <s v="PROD-3261"/>
    <x v="2"/>
    <x v="5"/>
    <x v="365"/>
    <x v="555"/>
    <n v="2"/>
    <n v="0.73"/>
    <n v="49.36"/>
  </r>
  <r>
    <s v="ORD-1557"/>
    <x v="557"/>
    <x v="557"/>
    <x v="0"/>
    <s v="CUST-7312"/>
    <s v="Customer 377"/>
    <x v="2"/>
    <s v="United States"/>
    <s v="Chicago"/>
    <x v="6"/>
    <n v="28428"/>
    <x v="0"/>
    <s v="PROD-3936"/>
    <x v="0"/>
    <x v="8"/>
    <x v="229"/>
    <x v="556"/>
    <n v="4"/>
    <n v="0.82"/>
    <n v="-26.68"/>
  </r>
  <r>
    <s v="ORD-1558"/>
    <x v="558"/>
    <x v="558"/>
    <x v="2"/>
    <s v="CUST-4216"/>
    <s v="Customer 460"/>
    <x v="0"/>
    <s v="United States"/>
    <s v="Chicago"/>
    <x v="4"/>
    <n v="47030"/>
    <x v="1"/>
    <s v="PROD-8984"/>
    <x v="0"/>
    <x v="8"/>
    <x v="0"/>
    <x v="557"/>
    <n v="8"/>
    <n v="0.3"/>
    <n v="533.19000000000005"/>
  </r>
  <r>
    <s v="ORD-1559"/>
    <x v="559"/>
    <x v="559"/>
    <x v="2"/>
    <s v="CUST-6875"/>
    <s v="Customer 266"/>
    <x v="0"/>
    <s v="United States"/>
    <s v="New York"/>
    <x v="4"/>
    <n v="32312"/>
    <x v="2"/>
    <s v="PROD-7878"/>
    <x v="1"/>
    <x v="10"/>
    <x v="243"/>
    <x v="558"/>
    <n v="8"/>
    <n v="0.41"/>
    <n v="504.85"/>
  </r>
  <r>
    <s v="ORD-1560"/>
    <x v="560"/>
    <x v="560"/>
    <x v="3"/>
    <s v="CUST-4384"/>
    <s v="Customer 8"/>
    <x v="0"/>
    <s v="United States"/>
    <s v="Dallas"/>
    <x v="3"/>
    <n v="84557"/>
    <x v="2"/>
    <s v="PROD-3643"/>
    <x v="0"/>
    <x v="9"/>
    <x v="187"/>
    <x v="559"/>
    <n v="13"/>
    <n v="0.16"/>
    <n v="-100.38"/>
  </r>
  <r>
    <s v="ORD-1561"/>
    <x v="561"/>
    <x v="561"/>
    <x v="1"/>
    <s v="CUST-3123"/>
    <s v="Customer 239"/>
    <x v="1"/>
    <s v="United States"/>
    <s v="Phoenix"/>
    <x v="3"/>
    <n v="33527"/>
    <x v="0"/>
    <s v="PROD-6133"/>
    <x v="0"/>
    <x v="8"/>
    <x v="133"/>
    <x v="560"/>
    <n v="1"/>
    <n v="0.73"/>
    <n v="535.34"/>
  </r>
  <r>
    <s v="ORD-1562"/>
    <x v="562"/>
    <x v="562"/>
    <x v="2"/>
    <s v="CUST-8910"/>
    <s v="Customer 204"/>
    <x v="1"/>
    <s v="United States"/>
    <s v="Seattle"/>
    <x v="3"/>
    <n v="69202"/>
    <x v="3"/>
    <s v="PROD-8899"/>
    <x v="0"/>
    <x v="8"/>
    <x v="366"/>
    <x v="561"/>
    <n v="8"/>
    <n v="0.1"/>
    <n v="203.77"/>
  </r>
  <r>
    <s v="ORD-1563"/>
    <x v="563"/>
    <x v="563"/>
    <x v="2"/>
    <s v="CUST-4006"/>
    <s v="Customer 316"/>
    <x v="0"/>
    <s v="United States"/>
    <s v="Houston"/>
    <x v="8"/>
    <n v="65605"/>
    <x v="0"/>
    <s v="PROD-2521"/>
    <x v="1"/>
    <x v="2"/>
    <x v="182"/>
    <x v="562"/>
    <n v="13"/>
    <n v="0.73"/>
    <n v="-50.28"/>
  </r>
  <r>
    <s v="ORD-1564"/>
    <x v="564"/>
    <x v="564"/>
    <x v="2"/>
    <s v="CUST-2728"/>
    <s v="Customer 232"/>
    <x v="2"/>
    <s v="United States"/>
    <s v="Dallas"/>
    <x v="4"/>
    <n v="66995"/>
    <x v="0"/>
    <s v="PROD-8759"/>
    <x v="1"/>
    <x v="2"/>
    <x v="230"/>
    <x v="563"/>
    <n v="10"/>
    <n v="0.56999999999999995"/>
    <n v="1187.46"/>
  </r>
  <r>
    <s v="ORD-1565"/>
    <x v="565"/>
    <x v="565"/>
    <x v="2"/>
    <s v="CUST-5082"/>
    <s v="Customer 152"/>
    <x v="2"/>
    <s v="United States"/>
    <s v="Denver"/>
    <x v="6"/>
    <n v="35207"/>
    <x v="2"/>
    <s v="PROD-5877"/>
    <x v="2"/>
    <x v="7"/>
    <x v="356"/>
    <x v="564"/>
    <n v="11"/>
    <n v="0.56999999999999995"/>
    <n v="498.94"/>
  </r>
  <r>
    <s v="ORD-1566"/>
    <x v="566"/>
    <x v="566"/>
    <x v="1"/>
    <s v="CUST-2122"/>
    <s v="Customer 58"/>
    <x v="1"/>
    <s v="United States"/>
    <s v="Los Angeles"/>
    <x v="8"/>
    <n v="47835"/>
    <x v="2"/>
    <s v="PROD-2775"/>
    <x v="2"/>
    <x v="7"/>
    <x v="190"/>
    <x v="565"/>
    <n v="13"/>
    <n v="0.01"/>
    <n v="1469.11"/>
  </r>
  <r>
    <s v="ORD-1567"/>
    <x v="567"/>
    <x v="567"/>
    <x v="1"/>
    <s v="CUST-7254"/>
    <s v="Customer 116"/>
    <x v="1"/>
    <s v="United States"/>
    <s v="New York"/>
    <x v="1"/>
    <n v="66090"/>
    <x v="2"/>
    <s v="PROD-1142"/>
    <x v="2"/>
    <x v="6"/>
    <x v="184"/>
    <x v="566"/>
    <n v="6"/>
    <n v="0.79"/>
    <n v="78.87"/>
  </r>
  <r>
    <s v="ORD-1568"/>
    <x v="568"/>
    <x v="568"/>
    <x v="3"/>
    <s v="CUST-7292"/>
    <s v="Customer 266"/>
    <x v="0"/>
    <s v="United States"/>
    <s v="Phoenix"/>
    <x v="8"/>
    <n v="60037"/>
    <x v="2"/>
    <s v="PROD-3787"/>
    <x v="2"/>
    <x v="11"/>
    <x v="239"/>
    <x v="567"/>
    <n v="6"/>
    <n v="0.56000000000000005"/>
    <n v="1267.29"/>
  </r>
  <r>
    <s v="ORD-1569"/>
    <x v="569"/>
    <x v="569"/>
    <x v="0"/>
    <s v="CUST-2266"/>
    <s v="Customer 103"/>
    <x v="1"/>
    <s v="United States"/>
    <s v="Chicago"/>
    <x v="3"/>
    <n v="97950"/>
    <x v="0"/>
    <s v="PROD-2308"/>
    <x v="1"/>
    <x v="2"/>
    <x v="205"/>
    <x v="568"/>
    <n v="12"/>
    <n v="0.61"/>
    <n v="904.63"/>
  </r>
  <r>
    <s v="ORD-1570"/>
    <x v="570"/>
    <x v="570"/>
    <x v="0"/>
    <s v="CUST-2138"/>
    <s v="Customer 37"/>
    <x v="0"/>
    <s v="United States"/>
    <s v="Chicago"/>
    <x v="6"/>
    <n v="56950"/>
    <x v="0"/>
    <s v="PROD-6975"/>
    <x v="1"/>
    <x v="4"/>
    <x v="44"/>
    <x v="569"/>
    <n v="9"/>
    <n v="0.48"/>
    <n v="709.01"/>
  </r>
  <r>
    <s v="ORD-1571"/>
    <x v="571"/>
    <x v="571"/>
    <x v="3"/>
    <s v="CUST-3196"/>
    <s v="Customer 464"/>
    <x v="2"/>
    <s v="United States"/>
    <s v="New York"/>
    <x v="1"/>
    <n v="61085"/>
    <x v="0"/>
    <s v="PROD-1303"/>
    <x v="2"/>
    <x v="5"/>
    <x v="48"/>
    <x v="570"/>
    <n v="13"/>
    <n v="0.36"/>
    <n v="-108.03"/>
  </r>
  <r>
    <s v="ORD-1572"/>
    <x v="572"/>
    <x v="572"/>
    <x v="2"/>
    <s v="CUST-6680"/>
    <s v="Customer 110"/>
    <x v="0"/>
    <s v="United States"/>
    <s v="New York"/>
    <x v="3"/>
    <n v="47454"/>
    <x v="0"/>
    <s v="PROD-1460"/>
    <x v="2"/>
    <x v="6"/>
    <x v="225"/>
    <x v="571"/>
    <n v="12"/>
    <n v="0.67"/>
    <n v="27.83"/>
  </r>
  <r>
    <s v="ORD-1573"/>
    <x v="573"/>
    <x v="573"/>
    <x v="1"/>
    <s v="CUST-7873"/>
    <s v="Customer 370"/>
    <x v="1"/>
    <s v="United States"/>
    <s v="Seattle"/>
    <x v="0"/>
    <n v="85505"/>
    <x v="1"/>
    <s v="PROD-8103"/>
    <x v="0"/>
    <x v="8"/>
    <x v="154"/>
    <x v="572"/>
    <n v="5"/>
    <n v="0.22"/>
    <n v="160.35"/>
  </r>
  <r>
    <s v="ORD-1574"/>
    <x v="574"/>
    <x v="574"/>
    <x v="3"/>
    <s v="CUST-9312"/>
    <s v="Customer 156"/>
    <x v="2"/>
    <s v="United States"/>
    <s v="New York"/>
    <x v="7"/>
    <n v="14916"/>
    <x v="0"/>
    <s v="PROD-7111"/>
    <x v="0"/>
    <x v="0"/>
    <x v="355"/>
    <x v="573"/>
    <n v="10"/>
    <n v="0.31"/>
    <n v="1353.17"/>
  </r>
  <r>
    <s v="ORD-1575"/>
    <x v="575"/>
    <x v="575"/>
    <x v="3"/>
    <s v="CUST-9965"/>
    <s v="Customer 91"/>
    <x v="0"/>
    <s v="United States"/>
    <s v="Houston"/>
    <x v="6"/>
    <n v="40416"/>
    <x v="3"/>
    <s v="PROD-3181"/>
    <x v="2"/>
    <x v="6"/>
    <x v="80"/>
    <x v="574"/>
    <n v="6"/>
    <n v="0.23"/>
    <n v="840.66"/>
  </r>
  <r>
    <s v="ORD-1576"/>
    <x v="576"/>
    <x v="576"/>
    <x v="1"/>
    <s v="CUST-7590"/>
    <s v="Customer 239"/>
    <x v="0"/>
    <s v="United States"/>
    <s v="Houston"/>
    <x v="1"/>
    <n v="22459"/>
    <x v="0"/>
    <s v="PROD-2371"/>
    <x v="0"/>
    <x v="9"/>
    <x v="367"/>
    <x v="575"/>
    <n v="7"/>
    <n v="0.5"/>
    <n v="798.93"/>
  </r>
  <r>
    <s v="ORD-1577"/>
    <x v="577"/>
    <x v="577"/>
    <x v="0"/>
    <s v="CUST-4444"/>
    <s v="Customer 475"/>
    <x v="1"/>
    <s v="United States"/>
    <s v="Miami"/>
    <x v="4"/>
    <n v="30608"/>
    <x v="0"/>
    <s v="PROD-8535"/>
    <x v="2"/>
    <x v="7"/>
    <x v="368"/>
    <x v="576"/>
    <n v="1"/>
    <n v="0.14000000000000001"/>
    <n v="573.19000000000005"/>
  </r>
  <r>
    <s v="ORD-1578"/>
    <x v="578"/>
    <x v="578"/>
    <x v="3"/>
    <s v="CUST-7753"/>
    <s v="Customer 127"/>
    <x v="2"/>
    <s v="United States"/>
    <s v="Phoenix"/>
    <x v="5"/>
    <n v="50343"/>
    <x v="0"/>
    <s v="PROD-5441"/>
    <x v="1"/>
    <x v="10"/>
    <x v="34"/>
    <x v="577"/>
    <n v="12"/>
    <n v="0"/>
    <n v="47.85"/>
  </r>
  <r>
    <s v="ORD-1579"/>
    <x v="579"/>
    <x v="579"/>
    <x v="3"/>
    <s v="CUST-7370"/>
    <s v="Customer 290"/>
    <x v="1"/>
    <s v="United States"/>
    <s v="New York"/>
    <x v="7"/>
    <n v="78848"/>
    <x v="0"/>
    <s v="PROD-5278"/>
    <x v="1"/>
    <x v="2"/>
    <x v="369"/>
    <x v="578"/>
    <n v="2"/>
    <n v="0.82"/>
    <n v="-490.1"/>
  </r>
  <r>
    <s v="ORD-1580"/>
    <x v="580"/>
    <x v="580"/>
    <x v="0"/>
    <s v="CUST-4344"/>
    <s v="Customer 77"/>
    <x v="2"/>
    <s v="United States"/>
    <s v="Los Angeles"/>
    <x v="0"/>
    <n v="10214"/>
    <x v="0"/>
    <s v="PROD-8521"/>
    <x v="0"/>
    <x v="8"/>
    <x v="298"/>
    <x v="579"/>
    <n v="7"/>
    <n v="0.4"/>
    <n v="1288.8599999999999"/>
  </r>
  <r>
    <s v="ORD-1581"/>
    <x v="581"/>
    <x v="581"/>
    <x v="2"/>
    <s v="CUST-5643"/>
    <s v="Customer 245"/>
    <x v="0"/>
    <s v="United States"/>
    <s v="Phoenix"/>
    <x v="3"/>
    <n v="78811"/>
    <x v="1"/>
    <s v="PROD-7964"/>
    <x v="1"/>
    <x v="2"/>
    <x v="370"/>
    <x v="580"/>
    <n v="6"/>
    <n v="0.41"/>
    <n v="-9.82"/>
  </r>
  <r>
    <s v="ORD-1582"/>
    <x v="582"/>
    <x v="582"/>
    <x v="2"/>
    <s v="CUST-4038"/>
    <s v="Customer 431"/>
    <x v="0"/>
    <s v="United States"/>
    <s v="Dallas"/>
    <x v="1"/>
    <n v="31454"/>
    <x v="3"/>
    <s v="PROD-8439"/>
    <x v="2"/>
    <x v="11"/>
    <x v="334"/>
    <x v="581"/>
    <n v="10"/>
    <n v="0.69"/>
    <n v="110.12"/>
  </r>
  <r>
    <s v="ORD-1583"/>
    <x v="583"/>
    <x v="583"/>
    <x v="0"/>
    <s v="CUST-2292"/>
    <s v="Customer 406"/>
    <x v="1"/>
    <s v="United States"/>
    <s v="Phoenix"/>
    <x v="6"/>
    <n v="78399"/>
    <x v="2"/>
    <s v="PROD-3159"/>
    <x v="1"/>
    <x v="2"/>
    <x v="339"/>
    <x v="582"/>
    <n v="8"/>
    <n v="0.7"/>
    <n v="-24.14"/>
  </r>
  <r>
    <s v="ORD-1584"/>
    <x v="584"/>
    <x v="584"/>
    <x v="0"/>
    <s v="CUST-4859"/>
    <s v="Customer 301"/>
    <x v="1"/>
    <s v="United States"/>
    <s v="Los Angeles"/>
    <x v="3"/>
    <n v="13685"/>
    <x v="1"/>
    <s v="PROD-8525"/>
    <x v="1"/>
    <x v="3"/>
    <x v="371"/>
    <x v="583"/>
    <n v="11"/>
    <n v="0.77"/>
    <n v="-403.75"/>
  </r>
  <r>
    <s v="ORD-1585"/>
    <x v="585"/>
    <x v="585"/>
    <x v="1"/>
    <s v="CUST-2017"/>
    <s v="Customer 30"/>
    <x v="0"/>
    <s v="United States"/>
    <s v="Dallas"/>
    <x v="2"/>
    <n v="33264"/>
    <x v="0"/>
    <s v="PROD-9625"/>
    <x v="0"/>
    <x v="8"/>
    <x v="193"/>
    <x v="584"/>
    <n v="10"/>
    <n v="0.71"/>
    <n v="313.07"/>
  </r>
  <r>
    <s v="ORD-1586"/>
    <x v="586"/>
    <x v="586"/>
    <x v="0"/>
    <s v="CUST-8094"/>
    <s v="Customer 286"/>
    <x v="1"/>
    <s v="United States"/>
    <s v="Miami"/>
    <x v="6"/>
    <n v="53282"/>
    <x v="2"/>
    <s v="PROD-1182"/>
    <x v="0"/>
    <x v="1"/>
    <x v="372"/>
    <x v="585"/>
    <n v="13"/>
    <n v="0.78"/>
    <n v="-402.08"/>
  </r>
  <r>
    <s v="ORD-1587"/>
    <x v="587"/>
    <x v="587"/>
    <x v="3"/>
    <s v="CUST-8035"/>
    <s v="Customer 31"/>
    <x v="1"/>
    <s v="United States"/>
    <s v="Chicago"/>
    <x v="4"/>
    <n v="52608"/>
    <x v="3"/>
    <s v="PROD-7211"/>
    <x v="1"/>
    <x v="3"/>
    <x v="268"/>
    <x v="586"/>
    <n v="6"/>
    <n v="0.06"/>
    <n v="38.26"/>
  </r>
  <r>
    <s v="ORD-1588"/>
    <x v="588"/>
    <x v="588"/>
    <x v="3"/>
    <s v="CUST-1700"/>
    <s v="Customer 162"/>
    <x v="2"/>
    <s v="United States"/>
    <s v="Miami"/>
    <x v="1"/>
    <n v="68416"/>
    <x v="3"/>
    <s v="PROD-3864"/>
    <x v="0"/>
    <x v="8"/>
    <x v="373"/>
    <x v="587"/>
    <n v="1"/>
    <n v="0.56999999999999995"/>
    <n v="760.36"/>
  </r>
  <r>
    <s v="ORD-1589"/>
    <x v="589"/>
    <x v="589"/>
    <x v="2"/>
    <s v="CUST-4194"/>
    <s v="Customer 489"/>
    <x v="2"/>
    <s v="United States"/>
    <s v="Phoenix"/>
    <x v="6"/>
    <n v="24181"/>
    <x v="3"/>
    <s v="PROD-4734"/>
    <x v="2"/>
    <x v="6"/>
    <x v="187"/>
    <x v="588"/>
    <n v="9"/>
    <n v="0.88"/>
    <n v="150.88999999999999"/>
  </r>
  <r>
    <s v="ORD-1590"/>
    <x v="590"/>
    <x v="590"/>
    <x v="2"/>
    <s v="CUST-7111"/>
    <s v="Customer 398"/>
    <x v="2"/>
    <s v="United States"/>
    <s v="Phoenix"/>
    <x v="4"/>
    <n v="41763"/>
    <x v="0"/>
    <s v="PROD-7714"/>
    <x v="0"/>
    <x v="8"/>
    <x v="374"/>
    <x v="589"/>
    <n v="1"/>
    <n v="0.51"/>
    <n v="40.28"/>
  </r>
  <r>
    <s v="ORD-1591"/>
    <x v="591"/>
    <x v="591"/>
    <x v="1"/>
    <s v="CUST-7819"/>
    <s v="Customer 216"/>
    <x v="0"/>
    <s v="United States"/>
    <s v="Houston"/>
    <x v="3"/>
    <n v="23229"/>
    <x v="3"/>
    <s v="PROD-6158"/>
    <x v="1"/>
    <x v="4"/>
    <x v="371"/>
    <x v="590"/>
    <n v="10"/>
    <n v="0.84"/>
    <n v="112.63"/>
  </r>
  <r>
    <s v="ORD-1592"/>
    <x v="592"/>
    <x v="592"/>
    <x v="1"/>
    <s v="CUST-5337"/>
    <s v="Customer 466"/>
    <x v="1"/>
    <s v="United States"/>
    <s v="Houston"/>
    <x v="0"/>
    <n v="95340"/>
    <x v="1"/>
    <s v="PROD-8530"/>
    <x v="0"/>
    <x v="1"/>
    <x v="332"/>
    <x v="591"/>
    <n v="1"/>
    <n v="0.37"/>
    <n v="262.2"/>
  </r>
  <r>
    <s v="ORD-1593"/>
    <x v="593"/>
    <x v="593"/>
    <x v="3"/>
    <s v="CUST-2207"/>
    <s v="Customer 372"/>
    <x v="2"/>
    <s v="United States"/>
    <s v="Dallas"/>
    <x v="6"/>
    <n v="27507"/>
    <x v="1"/>
    <s v="PROD-4552"/>
    <x v="0"/>
    <x v="9"/>
    <x v="335"/>
    <x v="592"/>
    <n v="7"/>
    <n v="0.81"/>
    <n v="95.99"/>
  </r>
  <r>
    <s v="ORD-1594"/>
    <x v="594"/>
    <x v="594"/>
    <x v="1"/>
    <s v="CUST-5030"/>
    <s v="Customer 239"/>
    <x v="2"/>
    <s v="United States"/>
    <s v="Phoenix"/>
    <x v="4"/>
    <n v="50010"/>
    <x v="0"/>
    <s v="PROD-7734"/>
    <x v="1"/>
    <x v="10"/>
    <x v="375"/>
    <x v="593"/>
    <n v="6"/>
    <n v="0.13"/>
    <n v="206.91"/>
  </r>
  <r>
    <s v="ORD-1595"/>
    <x v="595"/>
    <x v="595"/>
    <x v="1"/>
    <s v="CUST-4410"/>
    <s v="Customer 142"/>
    <x v="2"/>
    <s v="United States"/>
    <s v="Seattle"/>
    <x v="8"/>
    <n v="27582"/>
    <x v="1"/>
    <s v="PROD-5284"/>
    <x v="1"/>
    <x v="3"/>
    <x v="301"/>
    <x v="594"/>
    <n v="3"/>
    <n v="0.36"/>
    <n v="-83.81"/>
  </r>
  <r>
    <s v="ORD-1596"/>
    <x v="596"/>
    <x v="596"/>
    <x v="3"/>
    <s v="CUST-8327"/>
    <s v="Customer 312"/>
    <x v="2"/>
    <s v="United States"/>
    <s v="Seattle"/>
    <x v="4"/>
    <n v="70673"/>
    <x v="2"/>
    <s v="PROD-2933"/>
    <x v="0"/>
    <x v="0"/>
    <x v="375"/>
    <x v="595"/>
    <n v="6"/>
    <n v="0.03"/>
    <n v="1003.33"/>
  </r>
  <r>
    <s v="ORD-1597"/>
    <x v="597"/>
    <x v="597"/>
    <x v="3"/>
    <s v="CUST-7399"/>
    <s v="Customer 465"/>
    <x v="0"/>
    <s v="United States"/>
    <s v="Phoenix"/>
    <x v="3"/>
    <n v="25839"/>
    <x v="2"/>
    <s v="PROD-8681"/>
    <x v="2"/>
    <x v="5"/>
    <x v="335"/>
    <x v="596"/>
    <n v="14"/>
    <n v="0.32"/>
    <n v="-844.5"/>
  </r>
  <r>
    <s v="ORD-1598"/>
    <x v="598"/>
    <x v="598"/>
    <x v="2"/>
    <s v="CUST-2051"/>
    <s v="Customer 80"/>
    <x v="1"/>
    <s v="United States"/>
    <s v="Denver"/>
    <x v="6"/>
    <n v="44826"/>
    <x v="2"/>
    <s v="PROD-6024"/>
    <x v="1"/>
    <x v="4"/>
    <x v="281"/>
    <x v="597"/>
    <n v="6"/>
    <n v="0.59"/>
    <n v="243.72"/>
  </r>
  <r>
    <s v="ORD-1599"/>
    <x v="599"/>
    <x v="599"/>
    <x v="2"/>
    <s v="CUST-2801"/>
    <s v="Customer 218"/>
    <x v="1"/>
    <s v="United States"/>
    <s v="Los Angeles"/>
    <x v="2"/>
    <n v="64083"/>
    <x v="0"/>
    <s v="PROD-5520"/>
    <x v="1"/>
    <x v="2"/>
    <x v="197"/>
    <x v="598"/>
    <n v="9"/>
    <n v="0.73"/>
    <n v="1983.13"/>
  </r>
  <r>
    <s v="ORD-1600"/>
    <x v="600"/>
    <x v="600"/>
    <x v="1"/>
    <s v="CUST-9510"/>
    <s v="Customer 120"/>
    <x v="2"/>
    <s v="United States"/>
    <s v="Miami"/>
    <x v="4"/>
    <n v="38232"/>
    <x v="1"/>
    <s v="PROD-7535"/>
    <x v="2"/>
    <x v="5"/>
    <x v="55"/>
    <x v="599"/>
    <n v="3"/>
    <n v="0.76"/>
    <n v="178.96"/>
  </r>
  <r>
    <s v="ORD-1601"/>
    <x v="601"/>
    <x v="601"/>
    <x v="2"/>
    <s v="CUST-3793"/>
    <s v="Customer 120"/>
    <x v="2"/>
    <s v="United States"/>
    <s v="New York"/>
    <x v="6"/>
    <n v="43963"/>
    <x v="0"/>
    <s v="PROD-2047"/>
    <x v="2"/>
    <x v="11"/>
    <x v="376"/>
    <x v="600"/>
    <n v="11"/>
    <n v="0.67"/>
    <n v="-226.25"/>
  </r>
  <r>
    <s v="ORD-1602"/>
    <x v="602"/>
    <x v="602"/>
    <x v="3"/>
    <s v="CUST-5980"/>
    <s v="Customer 190"/>
    <x v="1"/>
    <s v="United States"/>
    <s v="Chicago"/>
    <x v="8"/>
    <n v="81597"/>
    <x v="0"/>
    <s v="PROD-5903"/>
    <x v="2"/>
    <x v="11"/>
    <x v="377"/>
    <x v="601"/>
    <n v="4"/>
    <n v="7.0000000000000007E-2"/>
    <n v="83.31"/>
  </r>
  <r>
    <s v="ORD-1603"/>
    <x v="603"/>
    <x v="603"/>
    <x v="3"/>
    <s v="CUST-7309"/>
    <s v="Customer 405"/>
    <x v="2"/>
    <s v="United States"/>
    <s v="New York"/>
    <x v="4"/>
    <n v="46423"/>
    <x v="0"/>
    <s v="PROD-9125"/>
    <x v="0"/>
    <x v="1"/>
    <x v="378"/>
    <x v="602"/>
    <n v="14"/>
    <n v="0.74"/>
    <n v="1302.74"/>
  </r>
  <r>
    <s v="ORD-1604"/>
    <x v="604"/>
    <x v="604"/>
    <x v="2"/>
    <s v="CUST-8090"/>
    <s v="Customer 203"/>
    <x v="2"/>
    <s v="United States"/>
    <s v="New York"/>
    <x v="3"/>
    <n v="75325"/>
    <x v="3"/>
    <s v="PROD-2581"/>
    <x v="1"/>
    <x v="4"/>
    <x v="239"/>
    <x v="603"/>
    <n v="4"/>
    <n v="0.65"/>
    <n v="102.97"/>
  </r>
  <r>
    <s v="ORD-1605"/>
    <x v="605"/>
    <x v="605"/>
    <x v="0"/>
    <s v="CUST-9145"/>
    <s v="Customer 252"/>
    <x v="0"/>
    <s v="United States"/>
    <s v="Miami"/>
    <x v="0"/>
    <n v="31783"/>
    <x v="2"/>
    <s v="PROD-9477"/>
    <x v="0"/>
    <x v="1"/>
    <x v="379"/>
    <x v="604"/>
    <n v="14"/>
    <n v="0.37"/>
    <n v="128.31"/>
  </r>
  <r>
    <s v="ORD-1606"/>
    <x v="606"/>
    <x v="606"/>
    <x v="2"/>
    <s v="CUST-7872"/>
    <s v="Customer 97"/>
    <x v="2"/>
    <s v="United States"/>
    <s v="Houston"/>
    <x v="2"/>
    <n v="64653"/>
    <x v="3"/>
    <s v="PROD-7027"/>
    <x v="0"/>
    <x v="1"/>
    <x v="326"/>
    <x v="605"/>
    <n v="2"/>
    <n v="0.36"/>
    <n v="589.26"/>
  </r>
  <r>
    <s v="ORD-1607"/>
    <x v="607"/>
    <x v="607"/>
    <x v="3"/>
    <s v="CUST-9607"/>
    <s v="Customer 395"/>
    <x v="1"/>
    <s v="United States"/>
    <s v="Miami"/>
    <x v="6"/>
    <n v="61049"/>
    <x v="2"/>
    <s v="PROD-9943"/>
    <x v="0"/>
    <x v="9"/>
    <x v="349"/>
    <x v="606"/>
    <n v="9"/>
    <n v="0.39"/>
    <n v="692.38"/>
  </r>
  <r>
    <s v="ORD-1608"/>
    <x v="608"/>
    <x v="608"/>
    <x v="3"/>
    <s v="CUST-1526"/>
    <s v="Customer 398"/>
    <x v="0"/>
    <s v="United States"/>
    <s v="Denver"/>
    <x v="7"/>
    <n v="66073"/>
    <x v="2"/>
    <s v="PROD-1964"/>
    <x v="2"/>
    <x v="7"/>
    <x v="379"/>
    <x v="607"/>
    <n v="8"/>
    <n v="0.84"/>
    <n v="-842.04"/>
  </r>
  <r>
    <s v="ORD-1609"/>
    <x v="609"/>
    <x v="609"/>
    <x v="2"/>
    <s v="CUST-3465"/>
    <s v="Customer 162"/>
    <x v="2"/>
    <s v="United States"/>
    <s v="Denver"/>
    <x v="6"/>
    <n v="84659"/>
    <x v="1"/>
    <s v="PROD-1810"/>
    <x v="1"/>
    <x v="10"/>
    <x v="380"/>
    <x v="608"/>
    <n v="13"/>
    <n v="0.78"/>
    <n v="736.4"/>
  </r>
  <r>
    <s v="ORD-1610"/>
    <x v="610"/>
    <x v="610"/>
    <x v="3"/>
    <s v="CUST-2221"/>
    <s v="Customer 52"/>
    <x v="0"/>
    <s v="United States"/>
    <s v="Dallas"/>
    <x v="7"/>
    <n v="38930"/>
    <x v="0"/>
    <s v="PROD-7804"/>
    <x v="2"/>
    <x v="11"/>
    <x v="381"/>
    <x v="609"/>
    <n v="5"/>
    <n v="0.71"/>
    <n v="1808.5"/>
  </r>
  <r>
    <s v="ORD-1611"/>
    <x v="611"/>
    <x v="611"/>
    <x v="3"/>
    <s v="CUST-9734"/>
    <s v="Customer 80"/>
    <x v="1"/>
    <s v="United States"/>
    <s v="New York"/>
    <x v="2"/>
    <n v="38126"/>
    <x v="1"/>
    <s v="PROD-5538"/>
    <x v="0"/>
    <x v="1"/>
    <x v="347"/>
    <x v="610"/>
    <n v="7"/>
    <n v="0.48"/>
    <n v="1053.46"/>
  </r>
  <r>
    <s v="ORD-1612"/>
    <x v="612"/>
    <x v="612"/>
    <x v="3"/>
    <s v="CUST-3124"/>
    <s v="Customer 335"/>
    <x v="2"/>
    <s v="United States"/>
    <s v="Denver"/>
    <x v="7"/>
    <n v="22281"/>
    <x v="0"/>
    <s v="PROD-1818"/>
    <x v="2"/>
    <x v="11"/>
    <x v="99"/>
    <x v="611"/>
    <n v="10"/>
    <n v="0.35"/>
    <n v="95.33"/>
  </r>
  <r>
    <s v="ORD-1613"/>
    <x v="613"/>
    <x v="613"/>
    <x v="3"/>
    <s v="CUST-2186"/>
    <s v="Customer 127"/>
    <x v="1"/>
    <s v="United States"/>
    <s v="Houston"/>
    <x v="1"/>
    <n v="26212"/>
    <x v="0"/>
    <s v="PROD-1608"/>
    <x v="2"/>
    <x v="7"/>
    <x v="261"/>
    <x v="612"/>
    <n v="2"/>
    <n v="0.25"/>
    <n v="-475.28"/>
  </r>
  <r>
    <s v="ORD-1614"/>
    <x v="614"/>
    <x v="614"/>
    <x v="3"/>
    <s v="CUST-2177"/>
    <s v="Customer 50"/>
    <x v="1"/>
    <s v="United States"/>
    <s v="New York"/>
    <x v="8"/>
    <n v="98380"/>
    <x v="1"/>
    <s v="PROD-8465"/>
    <x v="2"/>
    <x v="11"/>
    <x v="290"/>
    <x v="613"/>
    <n v="8"/>
    <n v="0.65"/>
    <n v="621.27"/>
  </r>
  <r>
    <s v="ORD-1615"/>
    <x v="615"/>
    <x v="615"/>
    <x v="2"/>
    <s v="CUST-2746"/>
    <s v="Customer 380"/>
    <x v="2"/>
    <s v="United States"/>
    <s v="Denver"/>
    <x v="1"/>
    <n v="71353"/>
    <x v="3"/>
    <s v="PROD-6284"/>
    <x v="0"/>
    <x v="9"/>
    <x v="382"/>
    <x v="614"/>
    <n v="9"/>
    <n v="0.55000000000000004"/>
    <n v="197.9"/>
  </r>
  <r>
    <s v="ORD-1616"/>
    <x v="616"/>
    <x v="616"/>
    <x v="2"/>
    <s v="CUST-2864"/>
    <s v="Customer 465"/>
    <x v="0"/>
    <s v="United States"/>
    <s v="Houston"/>
    <x v="5"/>
    <n v="30856"/>
    <x v="0"/>
    <s v="PROD-8254"/>
    <x v="1"/>
    <x v="10"/>
    <x v="355"/>
    <x v="615"/>
    <n v="10"/>
    <n v="0.81"/>
    <n v="601.21"/>
  </r>
  <r>
    <s v="ORD-1617"/>
    <x v="617"/>
    <x v="617"/>
    <x v="3"/>
    <s v="CUST-2230"/>
    <s v="Customer 459"/>
    <x v="2"/>
    <s v="United States"/>
    <s v="Chicago"/>
    <x v="3"/>
    <n v="73127"/>
    <x v="3"/>
    <s v="PROD-1922"/>
    <x v="1"/>
    <x v="3"/>
    <x v="116"/>
    <x v="616"/>
    <n v="13"/>
    <n v="0.17"/>
    <n v="595.51"/>
  </r>
  <r>
    <s v="ORD-1618"/>
    <x v="618"/>
    <x v="618"/>
    <x v="0"/>
    <s v="CUST-4120"/>
    <s v="Customer 198"/>
    <x v="2"/>
    <s v="United States"/>
    <s v="New York"/>
    <x v="8"/>
    <n v="28423"/>
    <x v="1"/>
    <s v="PROD-1412"/>
    <x v="2"/>
    <x v="11"/>
    <x v="255"/>
    <x v="617"/>
    <n v="6"/>
    <n v="0.13"/>
    <n v="91.88"/>
  </r>
  <r>
    <s v="ORD-1619"/>
    <x v="619"/>
    <x v="619"/>
    <x v="1"/>
    <s v="CUST-8405"/>
    <s v="Customer 454"/>
    <x v="1"/>
    <s v="United States"/>
    <s v="Houston"/>
    <x v="3"/>
    <n v="36154"/>
    <x v="2"/>
    <s v="PROD-4037"/>
    <x v="1"/>
    <x v="2"/>
    <x v="383"/>
    <x v="618"/>
    <n v="9"/>
    <n v="0.48"/>
    <n v="46.25"/>
  </r>
  <r>
    <s v="ORD-1620"/>
    <x v="620"/>
    <x v="620"/>
    <x v="2"/>
    <s v="CUST-2516"/>
    <s v="Customer 394"/>
    <x v="0"/>
    <s v="United States"/>
    <s v="Los Angeles"/>
    <x v="5"/>
    <n v="57074"/>
    <x v="2"/>
    <s v="PROD-8791"/>
    <x v="1"/>
    <x v="2"/>
    <x v="384"/>
    <x v="619"/>
    <n v="14"/>
    <n v="0.51"/>
    <n v="1760.16"/>
  </r>
  <r>
    <s v="ORD-1621"/>
    <x v="621"/>
    <x v="621"/>
    <x v="2"/>
    <s v="CUST-8348"/>
    <s v="Customer 483"/>
    <x v="1"/>
    <s v="United States"/>
    <s v="Houston"/>
    <x v="6"/>
    <n v="86363"/>
    <x v="1"/>
    <s v="PROD-7633"/>
    <x v="0"/>
    <x v="1"/>
    <x v="129"/>
    <x v="620"/>
    <n v="14"/>
    <n v="0.77"/>
    <n v="1009.23"/>
  </r>
  <r>
    <s v="ORD-1622"/>
    <x v="622"/>
    <x v="622"/>
    <x v="0"/>
    <s v="CUST-3845"/>
    <s v="Customer 421"/>
    <x v="2"/>
    <s v="United States"/>
    <s v="Miami"/>
    <x v="5"/>
    <n v="40955"/>
    <x v="2"/>
    <s v="PROD-3115"/>
    <x v="2"/>
    <x v="5"/>
    <x v="179"/>
    <x v="621"/>
    <n v="11"/>
    <n v="0.61"/>
    <n v="100.09"/>
  </r>
  <r>
    <s v="ORD-1623"/>
    <x v="623"/>
    <x v="623"/>
    <x v="3"/>
    <s v="CUST-2725"/>
    <s v="Customer 105"/>
    <x v="2"/>
    <s v="United States"/>
    <s v="New York"/>
    <x v="2"/>
    <n v="77988"/>
    <x v="1"/>
    <s v="PROD-3442"/>
    <x v="0"/>
    <x v="9"/>
    <x v="25"/>
    <x v="622"/>
    <n v="7"/>
    <n v="0.27"/>
    <n v="105.66"/>
  </r>
  <r>
    <s v="ORD-1624"/>
    <x v="624"/>
    <x v="624"/>
    <x v="0"/>
    <s v="CUST-9658"/>
    <s v="Customer 111"/>
    <x v="0"/>
    <s v="United States"/>
    <s v="Denver"/>
    <x v="3"/>
    <n v="42836"/>
    <x v="2"/>
    <s v="PROD-6140"/>
    <x v="2"/>
    <x v="5"/>
    <x v="385"/>
    <x v="623"/>
    <n v="5"/>
    <n v="0.75"/>
    <n v="216.54"/>
  </r>
  <r>
    <s v="ORD-1625"/>
    <x v="625"/>
    <x v="625"/>
    <x v="2"/>
    <s v="CUST-5219"/>
    <s v="Customer 279"/>
    <x v="2"/>
    <s v="United States"/>
    <s v="Dallas"/>
    <x v="4"/>
    <n v="55803"/>
    <x v="2"/>
    <s v="PROD-3050"/>
    <x v="1"/>
    <x v="2"/>
    <x v="386"/>
    <x v="624"/>
    <n v="13"/>
    <n v="0.12"/>
    <n v="320.60000000000002"/>
  </r>
  <r>
    <s v="ORD-1626"/>
    <x v="626"/>
    <x v="626"/>
    <x v="0"/>
    <s v="CUST-2575"/>
    <s v="Customer 366"/>
    <x v="1"/>
    <s v="United States"/>
    <s v="Miami"/>
    <x v="1"/>
    <n v="16181"/>
    <x v="3"/>
    <s v="PROD-2672"/>
    <x v="2"/>
    <x v="6"/>
    <x v="387"/>
    <x v="625"/>
    <n v="7"/>
    <n v="0.32"/>
    <n v="656.86"/>
  </r>
  <r>
    <s v="ORD-1627"/>
    <x v="627"/>
    <x v="627"/>
    <x v="3"/>
    <s v="CUST-3920"/>
    <s v="Customer 314"/>
    <x v="2"/>
    <s v="United States"/>
    <s v="Dallas"/>
    <x v="6"/>
    <n v="69972"/>
    <x v="0"/>
    <s v="PROD-1821"/>
    <x v="2"/>
    <x v="5"/>
    <x v="129"/>
    <x v="626"/>
    <n v="14"/>
    <n v="0.35"/>
    <n v="2568.44"/>
  </r>
  <r>
    <s v="ORD-1628"/>
    <x v="628"/>
    <x v="628"/>
    <x v="0"/>
    <s v="CUST-4853"/>
    <s v="Customer 407"/>
    <x v="1"/>
    <s v="United States"/>
    <s v="New York"/>
    <x v="3"/>
    <n v="48519"/>
    <x v="1"/>
    <s v="PROD-4179"/>
    <x v="0"/>
    <x v="9"/>
    <x v="125"/>
    <x v="627"/>
    <n v="4"/>
    <n v="0.15"/>
    <n v="-7.74"/>
  </r>
  <r>
    <s v="ORD-1629"/>
    <x v="629"/>
    <x v="629"/>
    <x v="0"/>
    <s v="CUST-5264"/>
    <s v="Customer 315"/>
    <x v="2"/>
    <s v="United States"/>
    <s v="Miami"/>
    <x v="4"/>
    <n v="46857"/>
    <x v="1"/>
    <s v="PROD-3995"/>
    <x v="2"/>
    <x v="11"/>
    <x v="369"/>
    <x v="628"/>
    <n v="11"/>
    <n v="0.04"/>
    <n v="301.54000000000002"/>
  </r>
  <r>
    <s v="ORD-1630"/>
    <x v="630"/>
    <x v="630"/>
    <x v="3"/>
    <s v="CUST-9441"/>
    <s v="Customer 191"/>
    <x v="2"/>
    <s v="United States"/>
    <s v="Seattle"/>
    <x v="0"/>
    <n v="14255"/>
    <x v="1"/>
    <s v="PROD-7476"/>
    <x v="1"/>
    <x v="4"/>
    <x v="19"/>
    <x v="629"/>
    <n v="8"/>
    <n v="0.25"/>
    <n v="177.37"/>
  </r>
  <r>
    <s v="ORD-1631"/>
    <x v="631"/>
    <x v="631"/>
    <x v="3"/>
    <s v="CUST-4800"/>
    <s v="Customer 259"/>
    <x v="1"/>
    <s v="United States"/>
    <s v="Dallas"/>
    <x v="7"/>
    <n v="44381"/>
    <x v="1"/>
    <s v="PROD-8513"/>
    <x v="1"/>
    <x v="2"/>
    <x v="355"/>
    <x v="630"/>
    <n v="4"/>
    <n v="0.16"/>
    <n v="-152.99"/>
  </r>
  <r>
    <s v="ORD-1632"/>
    <x v="632"/>
    <x v="632"/>
    <x v="0"/>
    <s v="CUST-4024"/>
    <s v="Customer 140"/>
    <x v="2"/>
    <s v="United States"/>
    <s v="Chicago"/>
    <x v="1"/>
    <n v="21454"/>
    <x v="1"/>
    <s v="PROD-5228"/>
    <x v="1"/>
    <x v="2"/>
    <x v="388"/>
    <x v="631"/>
    <n v="4"/>
    <n v="0.42"/>
    <n v="-310.69"/>
  </r>
  <r>
    <s v="ORD-1633"/>
    <x v="633"/>
    <x v="633"/>
    <x v="1"/>
    <s v="CUST-4162"/>
    <s v="Customer 294"/>
    <x v="2"/>
    <s v="United States"/>
    <s v="Denver"/>
    <x v="7"/>
    <n v="49574"/>
    <x v="0"/>
    <s v="PROD-8791"/>
    <x v="2"/>
    <x v="7"/>
    <x v="367"/>
    <x v="632"/>
    <n v="1"/>
    <n v="0.27"/>
    <n v="516.87"/>
  </r>
  <r>
    <s v="ORD-1634"/>
    <x v="634"/>
    <x v="634"/>
    <x v="1"/>
    <s v="CUST-7248"/>
    <s v="Customer 445"/>
    <x v="2"/>
    <s v="United States"/>
    <s v="Chicago"/>
    <x v="1"/>
    <n v="28518"/>
    <x v="2"/>
    <s v="PROD-6081"/>
    <x v="0"/>
    <x v="9"/>
    <x v="17"/>
    <x v="633"/>
    <n v="8"/>
    <n v="0.18"/>
    <n v="153.05000000000001"/>
  </r>
  <r>
    <s v="ORD-1635"/>
    <x v="635"/>
    <x v="635"/>
    <x v="3"/>
    <s v="CUST-3276"/>
    <s v="Customer 47"/>
    <x v="2"/>
    <s v="United States"/>
    <s v="Los Angeles"/>
    <x v="6"/>
    <n v="27160"/>
    <x v="1"/>
    <s v="PROD-4256"/>
    <x v="0"/>
    <x v="0"/>
    <x v="389"/>
    <x v="634"/>
    <n v="1"/>
    <n v="0.89"/>
    <n v="9.0299999999999994"/>
  </r>
  <r>
    <s v="ORD-1636"/>
    <x v="636"/>
    <x v="636"/>
    <x v="1"/>
    <s v="CUST-3055"/>
    <s v="Customer 109"/>
    <x v="2"/>
    <s v="United States"/>
    <s v="Seattle"/>
    <x v="5"/>
    <n v="65857"/>
    <x v="3"/>
    <s v="PROD-6535"/>
    <x v="1"/>
    <x v="4"/>
    <x v="390"/>
    <x v="635"/>
    <n v="5"/>
    <n v="0.39"/>
    <n v="-431.78"/>
  </r>
  <r>
    <s v="ORD-1637"/>
    <x v="637"/>
    <x v="637"/>
    <x v="1"/>
    <s v="CUST-9065"/>
    <s v="Customer 85"/>
    <x v="2"/>
    <s v="United States"/>
    <s v="Dallas"/>
    <x v="5"/>
    <n v="25903"/>
    <x v="2"/>
    <s v="PROD-9038"/>
    <x v="1"/>
    <x v="2"/>
    <x v="247"/>
    <x v="636"/>
    <n v="9"/>
    <n v="0.28000000000000003"/>
    <n v="692.96"/>
  </r>
  <r>
    <s v="ORD-1638"/>
    <x v="638"/>
    <x v="638"/>
    <x v="0"/>
    <s v="CUST-8487"/>
    <s v="Customer 415"/>
    <x v="0"/>
    <s v="United States"/>
    <s v="Denver"/>
    <x v="3"/>
    <n v="44983"/>
    <x v="2"/>
    <s v="PROD-1036"/>
    <x v="0"/>
    <x v="8"/>
    <x v="267"/>
    <x v="637"/>
    <n v="8"/>
    <n v="0.56000000000000005"/>
    <n v="361.31"/>
  </r>
  <r>
    <s v="ORD-1639"/>
    <x v="639"/>
    <x v="639"/>
    <x v="1"/>
    <s v="CUST-7526"/>
    <s v="Customer 419"/>
    <x v="2"/>
    <s v="United States"/>
    <s v="Chicago"/>
    <x v="3"/>
    <n v="80133"/>
    <x v="0"/>
    <s v="PROD-4680"/>
    <x v="2"/>
    <x v="6"/>
    <x v="391"/>
    <x v="638"/>
    <n v="2"/>
    <n v="0.05"/>
    <n v="216.05"/>
  </r>
  <r>
    <s v="ORD-1640"/>
    <x v="640"/>
    <x v="640"/>
    <x v="3"/>
    <s v="CUST-9614"/>
    <s v="Customer 272"/>
    <x v="1"/>
    <s v="United States"/>
    <s v="Dallas"/>
    <x v="5"/>
    <n v="76942"/>
    <x v="0"/>
    <s v="PROD-2201"/>
    <x v="1"/>
    <x v="3"/>
    <x v="230"/>
    <x v="639"/>
    <n v="10"/>
    <n v="0.34"/>
    <n v="1294.47"/>
  </r>
  <r>
    <s v="ORD-1641"/>
    <x v="641"/>
    <x v="641"/>
    <x v="3"/>
    <s v="CUST-9194"/>
    <s v="Customer 186"/>
    <x v="2"/>
    <s v="United States"/>
    <s v="Denver"/>
    <x v="8"/>
    <n v="11916"/>
    <x v="3"/>
    <s v="PROD-2513"/>
    <x v="1"/>
    <x v="10"/>
    <x v="392"/>
    <x v="640"/>
    <n v="6"/>
    <n v="0.41"/>
    <n v="1103.79"/>
  </r>
  <r>
    <s v="ORD-1642"/>
    <x v="642"/>
    <x v="642"/>
    <x v="3"/>
    <s v="CUST-9248"/>
    <s v="Customer 301"/>
    <x v="0"/>
    <s v="United States"/>
    <s v="Miami"/>
    <x v="7"/>
    <n v="11593"/>
    <x v="3"/>
    <s v="PROD-9194"/>
    <x v="0"/>
    <x v="1"/>
    <x v="393"/>
    <x v="641"/>
    <n v="5"/>
    <n v="0.56999999999999995"/>
    <n v="694.36"/>
  </r>
  <r>
    <s v="ORD-1643"/>
    <x v="643"/>
    <x v="643"/>
    <x v="2"/>
    <s v="CUST-2855"/>
    <s v="Customer 336"/>
    <x v="1"/>
    <s v="United States"/>
    <s v="Dallas"/>
    <x v="2"/>
    <n v="10710"/>
    <x v="0"/>
    <s v="PROD-2899"/>
    <x v="2"/>
    <x v="6"/>
    <x v="394"/>
    <x v="642"/>
    <n v="10"/>
    <n v="0.31"/>
    <n v="537.80999999999995"/>
  </r>
  <r>
    <s v="ORD-1644"/>
    <x v="644"/>
    <x v="644"/>
    <x v="0"/>
    <s v="CUST-1660"/>
    <s v="Customer 243"/>
    <x v="1"/>
    <s v="United States"/>
    <s v="Los Angeles"/>
    <x v="0"/>
    <n v="13934"/>
    <x v="0"/>
    <s v="PROD-6290"/>
    <x v="1"/>
    <x v="10"/>
    <x v="352"/>
    <x v="643"/>
    <n v="9"/>
    <n v="0.04"/>
    <n v="89.54"/>
  </r>
  <r>
    <s v="ORD-1645"/>
    <x v="645"/>
    <x v="645"/>
    <x v="3"/>
    <s v="CUST-4962"/>
    <s v="Customer 393"/>
    <x v="0"/>
    <s v="United States"/>
    <s v="Seattle"/>
    <x v="7"/>
    <n v="17024"/>
    <x v="1"/>
    <s v="PROD-3495"/>
    <x v="1"/>
    <x v="3"/>
    <x v="169"/>
    <x v="644"/>
    <n v="6"/>
    <n v="0.14000000000000001"/>
    <n v="1805.1"/>
  </r>
  <r>
    <s v="ORD-1646"/>
    <x v="646"/>
    <x v="646"/>
    <x v="1"/>
    <s v="CUST-3196"/>
    <s v="Customer 335"/>
    <x v="2"/>
    <s v="United States"/>
    <s v="New York"/>
    <x v="0"/>
    <n v="74951"/>
    <x v="0"/>
    <s v="PROD-4631"/>
    <x v="0"/>
    <x v="8"/>
    <x v="169"/>
    <x v="645"/>
    <n v="10"/>
    <n v="7.0000000000000007E-2"/>
    <n v="765.18"/>
  </r>
  <r>
    <s v="ORD-1647"/>
    <x v="647"/>
    <x v="647"/>
    <x v="0"/>
    <s v="CUST-3351"/>
    <s v="Customer 146"/>
    <x v="1"/>
    <s v="United States"/>
    <s v="Chicago"/>
    <x v="6"/>
    <n v="17747"/>
    <x v="1"/>
    <s v="PROD-3300"/>
    <x v="1"/>
    <x v="3"/>
    <x v="395"/>
    <x v="646"/>
    <n v="2"/>
    <n v="0.13"/>
    <n v="356.77"/>
  </r>
  <r>
    <s v="ORD-1648"/>
    <x v="648"/>
    <x v="648"/>
    <x v="0"/>
    <s v="CUST-8243"/>
    <s v="Customer 320"/>
    <x v="2"/>
    <s v="United States"/>
    <s v="Houston"/>
    <x v="2"/>
    <n v="34979"/>
    <x v="1"/>
    <s v="PROD-9764"/>
    <x v="2"/>
    <x v="5"/>
    <x v="396"/>
    <x v="647"/>
    <n v="5"/>
    <n v="0.43"/>
    <n v="52.06"/>
  </r>
  <r>
    <s v="ORD-1649"/>
    <x v="649"/>
    <x v="649"/>
    <x v="3"/>
    <s v="CUST-4436"/>
    <s v="Customer 370"/>
    <x v="1"/>
    <s v="United States"/>
    <s v="Miami"/>
    <x v="0"/>
    <n v="21057"/>
    <x v="2"/>
    <s v="PROD-8375"/>
    <x v="1"/>
    <x v="10"/>
    <x v="397"/>
    <x v="648"/>
    <n v="9"/>
    <n v="0.02"/>
    <n v="586.19000000000005"/>
  </r>
  <r>
    <s v="ORD-1650"/>
    <x v="650"/>
    <x v="650"/>
    <x v="3"/>
    <s v="CUST-4605"/>
    <s v="Customer 328"/>
    <x v="1"/>
    <s v="United States"/>
    <s v="Seattle"/>
    <x v="8"/>
    <n v="16168"/>
    <x v="2"/>
    <s v="PROD-7913"/>
    <x v="0"/>
    <x v="9"/>
    <x v="398"/>
    <x v="649"/>
    <n v="13"/>
    <n v="0.61"/>
    <n v="1443.41"/>
  </r>
  <r>
    <s v="ORD-1651"/>
    <x v="651"/>
    <x v="651"/>
    <x v="0"/>
    <s v="CUST-2512"/>
    <s v="Customer 385"/>
    <x v="2"/>
    <s v="United States"/>
    <s v="Houston"/>
    <x v="1"/>
    <n v="50719"/>
    <x v="2"/>
    <s v="PROD-7889"/>
    <x v="1"/>
    <x v="10"/>
    <x v="274"/>
    <x v="650"/>
    <n v="11"/>
    <n v="0.44"/>
    <n v="244.82"/>
  </r>
  <r>
    <s v="ORD-1652"/>
    <x v="652"/>
    <x v="652"/>
    <x v="2"/>
    <s v="CUST-7017"/>
    <s v="Customer 389"/>
    <x v="2"/>
    <s v="United States"/>
    <s v="Denver"/>
    <x v="4"/>
    <n v="76035"/>
    <x v="3"/>
    <s v="PROD-6010"/>
    <x v="1"/>
    <x v="2"/>
    <x v="353"/>
    <x v="651"/>
    <n v="10"/>
    <n v="0.87"/>
    <n v="-87.01"/>
  </r>
  <r>
    <s v="ORD-1653"/>
    <x v="653"/>
    <x v="653"/>
    <x v="0"/>
    <s v="CUST-2515"/>
    <s v="Customer 499"/>
    <x v="1"/>
    <s v="United States"/>
    <s v="Seattle"/>
    <x v="5"/>
    <n v="48296"/>
    <x v="1"/>
    <s v="PROD-9600"/>
    <x v="2"/>
    <x v="11"/>
    <x v="10"/>
    <x v="652"/>
    <n v="12"/>
    <n v="0.52"/>
    <n v="-699.86"/>
  </r>
  <r>
    <s v="ORD-1654"/>
    <x v="654"/>
    <x v="654"/>
    <x v="2"/>
    <s v="CUST-2152"/>
    <s v="Customer 224"/>
    <x v="1"/>
    <s v="United States"/>
    <s v="Phoenix"/>
    <x v="6"/>
    <n v="28741"/>
    <x v="1"/>
    <s v="PROD-1668"/>
    <x v="1"/>
    <x v="10"/>
    <x v="156"/>
    <x v="653"/>
    <n v="2"/>
    <n v="0.47"/>
    <n v="1263.1400000000001"/>
  </r>
  <r>
    <s v="ORD-1655"/>
    <x v="655"/>
    <x v="655"/>
    <x v="2"/>
    <s v="CUST-7536"/>
    <s v="Customer 460"/>
    <x v="0"/>
    <s v="United States"/>
    <s v="Los Angeles"/>
    <x v="0"/>
    <n v="42490"/>
    <x v="2"/>
    <s v="PROD-4613"/>
    <x v="0"/>
    <x v="9"/>
    <x v="88"/>
    <x v="654"/>
    <n v="5"/>
    <n v="0.45"/>
    <n v="126.53"/>
  </r>
  <r>
    <s v="ORD-1656"/>
    <x v="656"/>
    <x v="656"/>
    <x v="2"/>
    <s v="CUST-2071"/>
    <s v="Customer 251"/>
    <x v="2"/>
    <s v="United States"/>
    <s v="Chicago"/>
    <x v="6"/>
    <n v="26847"/>
    <x v="2"/>
    <s v="PROD-9908"/>
    <x v="1"/>
    <x v="10"/>
    <x v="382"/>
    <x v="655"/>
    <n v="3"/>
    <n v="0.27"/>
    <n v="1240.32"/>
  </r>
  <r>
    <s v="ORD-1657"/>
    <x v="657"/>
    <x v="657"/>
    <x v="3"/>
    <s v="CUST-4672"/>
    <s v="Customer 6"/>
    <x v="0"/>
    <s v="United States"/>
    <s v="Chicago"/>
    <x v="3"/>
    <n v="28463"/>
    <x v="2"/>
    <s v="PROD-3464"/>
    <x v="2"/>
    <x v="5"/>
    <x v="399"/>
    <x v="656"/>
    <n v="11"/>
    <n v="0.6"/>
    <n v="344.08"/>
  </r>
  <r>
    <s v="ORD-1658"/>
    <x v="658"/>
    <x v="658"/>
    <x v="0"/>
    <s v="CUST-7878"/>
    <s v="Customer 32"/>
    <x v="0"/>
    <s v="United States"/>
    <s v="Dallas"/>
    <x v="4"/>
    <n v="22077"/>
    <x v="0"/>
    <s v="PROD-9110"/>
    <x v="2"/>
    <x v="11"/>
    <x v="186"/>
    <x v="657"/>
    <n v="4"/>
    <n v="7.0000000000000007E-2"/>
    <n v="1018.9"/>
  </r>
  <r>
    <s v="ORD-1659"/>
    <x v="659"/>
    <x v="659"/>
    <x v="2"/>
    <s v="CUST-1278"/>
    <s v="Customer 386"/>
    <x v="1"/>
    <s v="United States"/>
    <s v="Miami"/>
    <x v="8"/>
    <n v="35903"/>
    <x v="1"/>
    <s v="PROD-8537"/>
    <x v="1"/>
    <x v="10"/>
    <x v="36"/>
    <x v="658"/>
    <n v="8"/>
    <n v="0.4"/>
    <n v="1299.07"/>
  </r>
  <r>
    <s v="ORD-1660"/>
    <x v="660"/>
    <x v="660"/>
    <x v="3"/>
    <s v="CUST-8682"/>
    <s v="Customer 416"/>
    <x v="1"/>
    <s v="United States"/>
    <s v="Denver"/>
    <x v="4"/>
    <n v="58459"/>
    <x v="0"/>
    <s v="PROD-9058"/>
    <x v="0"/>
    <x v="1"/>
    <x v="101"/>
    <x v="659"/>
    <n v="5"/>
    <n v="0.19"/>
    <n v="576.05999999999995"/>
  </r>
  <r>
    <s v="ORD-1661"/>
    <x v="661"/>
    <x v="661"/>
    <x v="2"/>
    <s v="CUST-3365"/>
    <s v="Customer 451"/>
    <x v="1"/>
    <s v="United States"/>
    <s v="Chicago"/>
    <x v="7"/>
    <n v="55750"/>
    <x v="1"/>
    <s v="PROD-1284"/>
    <x v="1"/>
    <x v="4"/>
    <x v="400"/>
    <x v="660"/>
    <n v="9"/>
    <n v="0.16"/>
    <n v="253.91"/>
  </r>
  <r>
    <s v="ORD-1662"/>
    <x v="662"/>
    <x v="662"/>
    <x v="0"/>
    <s v="CUST-1416"/>
    <s v="Customer 427"/>
    <x v="0"/>
    <s v="United States"/>
    <s v="Denver"/>
    <x v="7"/>
    <n v="60777"/>
    <x v="0"/>
    <s v="PROD-2815"/>
    <x v="1"/>
    <x v="3"/>
    <x v="199"/>
    <x v="661"/>
    <n v="13"/>
    <n v="0.61"/>
    <n v="112.08"/>
  </r>
  <r>
    <s v="ORD-1663"/>
    <x v="663"/>
    <x v="663"/>
    <x v="1"/>
    <s v="CUST-2454"/>
    <s v="Customer 71"/>
    <x v="2"/>
    <s v="United States"/>
    <s v="Houston"/>
    <x v="7"/>
    <n v="57638"/>
    <x v="3"/>
    <s v="PROD-3882"/>
    <x v="1"/>
    <x v="2"/>
    <x v="401"/>
    <x v="662"/>
    <n v="12"/>
    <n v="0.48"/>
    <n v="752.05"/>
  </r>
  <r>
    <s v="ORD-1664"/>
    <x v="664"/>
    <x v="664"/>
    <x v="3"/>
    <s v="CUST-8990"/>
    <s v="Customer 382"/>
    <x v="1"/>
    <s v="United States"/>
    <s v="Dallas"/>
    <x v="2"/>
    <n v="33721"/>
    <x v="0"/>
    <s v="PROD-3245"/>
    <x v="0"/>
    <x v="8"/>
    <x v="402"/>
    <x v="663"/>
    <n v="12"/>
    <n v="0.19"/>
    <n v="421.41"/>
  </r>
  <r>
    <s v="ORD-1665"/>
    <x v="665"/>
    <x v="665"/>
    <x v="1"/>
    <s v="CUST-1923"/>
    <s v="Customer 441"/>
    <x v="1"/>
    <s v="United States"/>
    <s v="New York"/>
    <x v="1"/>
    <n v="59405"/>
    <x v="1"/>
    <s v="PROD-8053"/>
    <x v="0"/>
    <x v="1"/>
    <x v="306"/>
    <x v="664"/>
    <n v="10"/>
    <n v="0.48"/>
    <n v="-56.81"/>
  </r>
  <r>
    <s v="ORD-1666"/>
    <x v="666"/>
    <x v="666"/>
    <x v="3"/>
    <s v="CUST-1156"/>
    <s v="Customer 41"/>
    <x v="0"/>
    <s v="United States"/>
    <s v="Miami"/>
    <x v="8"/>
    <n v="77441"/>
    <x v="3"/>
    <s v="PROD-9966"/>
    <x v="0"/>
    <x v="8"/>
    <x v="403"/>
    <x v="665"/>
    <n v="9"/>
    <n v="0.5"/>
    <n v="2364.9499999999998"/>
  </r>
  <r>
    <s v="ORD-1667"/>
    <x v="667"/>
    <x v="667"/>
    <x v="3"/>
    <s v="CUST-4872"/>
    <s v="Customer 296"/>
    <x v="1"/>
    <s v="United States"/>
    <s v="Seattle"/>
    <x v="3"/>
    <n v="41409"/>
    <x v="1"/>
    <s v="PROD-8358"/>
    <x v="0"/>
    <x v="8"/>
    <x v="258"/>
    <x v="666"/>
    <n v="14"/>
    <n v="0.02"/>
    <n v="438.59"/>
  </r>
  <r>
    <s v="ORD-1668"/>
    <x v="668"/>
    <x v="668"/>
    <x v="2"/>
    <s v="CUST-3514"/>
    <s v="Customer 495"/>
    <x v="0"/>
    <s v="United States"/>
    <s v="Dallas"/>
    <x v="1"/>
    <n v="13445"/>
    <x v="3"/>
    <s v="PROD-4713"/>
    <x v="0"/>
    <x v="8"/>
    <x v="394"/>
    <x v="667"/>
    <n v="14"/>
    <n v="0.65"/>
    <n v="301.01"/>
  </r>
  <r>
    <s v="ORD-1669"/>
    <x v="669"/>
    <x v="669"/>
    <x v="2"/>
    <s v="CUST-2764"/>
    <s v="Customer 441"/>
    <x v="2"/>
    <s v="United States"/>
    <s v="Miami"/>
    <x v="8"/>
    <n v="18438"/>
    <x v="2"/>
    <s v="PROD-3347"/>
    <x v="2"/>
    <x v="7"/>
    <x v="103"/>
    <x v="668"/>
    <n v="6"/>
    <n v="0.88"/>
    <n v="435.05"/>
  </r>
  <r>
    <s v="ORD-1670"/>
    <x v="670"/>
    <x v="670"/>
    <x v="3"/>
    <s v="CUST-6489"/>
    <s v="Customer 438"/>
    <x v="2"/>
    <s v="United States"/>
    <s v="New York"/>
    <x v="0"/>
    <n v="47959"/>
    <x v="1"/>
    <s v="PROD-8143"/>
    <x v="1"/>
    <x v="10"/>
    <x v="252"/>
    <x v="669"/>
    <n v="7"/>
    <n v="0.66"/>
    <n v="256.23"/>
  </r>
  <r>
    <s v="ORD-1671"/>
    <x v="671"/>
    <x v="671"/>
    <x v="1"/>
    <s v="CUST-6609"/>
    <s v="Customer 329"/>
    <x v="1"/>
    <s v="United States"/>
    <s v="Phoenix"/>
    <x v="2"/>
    <n v="22343"/>
    <x v="0"/>
    <s v="PROD-4273"/>
    <x v="2"/>
    <x v="11"/>
    <x v="370"/>
    <x v="670"/>
    <n v="7"/>
    <n v="0.85"/>
    <n v="-527.02"/>
  </r>
  <r>
    <s v="ORD-1672"/>
    <x v="672"/>
    <x v="672"/>
    <x v="3"/>
    <s v="CUST-5806"/>
    <s v="Customer 127"/>
    <x v="1"/>
    <s v="United States"/>
    <s v="Phoenix"/>
    <x v="3"/>
    <n v="20074"/>
    <x v="3"/>
    <s v="PROD-3080"/>
    <x v="1"/>
    <x v="3"/>
    <x v="404"/>
    <x v="671"/>
    <n v="10"/>
    <n v="0.42"/>
    <n v="174.25"/>
  </r>
  <r>
    <s v="ORD-1673"/>
    <x v="673"/>
    <x v="673"/>
    <x v="0"/>
    <s v="CUST-2678"/>
    <s v="Customer 463"/>
    <x v="2"/>
    <s v="United States"/>
    <s v="Denver"/>
    <x v="6"/>
    <n v="71684"/>
    <x v="3"/>
    <s v="PROD-1387"/>
    <x v="1"/>
    <x v="2"/>
    <x v="95"/>
    <x v="672"/>
    <n v="6"/>
    <n v="0.75"/>
    <n v="1170.56"/>
  </r>
  <r>
    <s v="ORD-1674"/>
    <x v="674"/>
    <x v="674"/>
    <x v="1"/>
    <s v="CUST-5443"/>
    <s v="Customer 2"/>
    <x v="0"/>
    <s v="United States"/>
    <s v="Dallas"/>
    <x v="4"/>
    <n v="58882"/>
    <x v="2"/>
    <s v="PROD-5205"/>
    <x v="1"/>
    <x v="4"/>
    <x v="264"/>
    <x v="673"/>
    <n v="7"/>
    <n v="0.28000000000000003"/>
    <n v="1012.18"/>
  </r>
  <r>
    <s v="ORD-1675"/>
    <x v="675"/>
    <x v="675"/>
    <x v="3"/>
    <s v="CUST-9423"/>
    <s v="Customer 349"/>
    <x v="1"/>
    <s v="United States"/>
    <s v="Houston"/>
    <x v="3"/>
    <n v="68195"/>
    <x v="2"/>
    <s v="PROD-3854"/>
    <x v="2"/>
    <x v="11"/>
    <x v="189"/>
    <x v="674"/>
    <n v="12"/>
    <n v="0.72"/>
    <n v="2033.5"/>
  </r>
  <r>
    <s v="ORD-1676"/>
    <x v="676"/>
    <x v="676"/>
    <x v="2"/>
    <s v="CUST-8329"/>
    <s v="Customer 232"/>
    <x v="2"/>
    <s v="United States"/>
    <s v="Houston"/>
    <x v="3"/>
    <n v="99354"/>
    <x v="0"/>
    <s v="PROD-4185"/>
    <x v="1"/>
    <x v="4"/>
    <x v="346"/>
    <x v="675"/>
    <n v="12"/>
    <n v="0.12"/>
    <n v="1102.24"/>
  </r>
  <r>
    <s v="ORD-1677"/>
    <x v="677"/>
    <x v="677"/>
    <x v="2"/>
    <s v="CUST-4061"/>
    <s v="Customer 278"/>
    <x v="1"/>
    <s v="United States"/>
    <s v="Seattle"/>
    <x v="5"/>
    <n v="94157"/>
    <x v="2"/>
    <s v="PROD-2078"/>
    <x v="1"/>
    <x v="2"/>
    <x v="164"/>
    <x v="676"/>
    <n v="5"/>
    <n v="0.76"/>
    <n v="196.6"/>
  </r>
  <r>
    <s v="ORD-1678"/>
    <x v="678"/>
    <x v="678"/>
    <x v="2"/>
    <s v="CUST-2685"/>
    <s v="Customer 481"/>
    <x v="0"/>
    <s v="United States"/>
    <s v="Seattle"/>
    <x v="5"/>
    <n v="43945"/>
    <x v="0"/>
    <s v="PROD-2532"/>
    <x v="0"/>
    <x v="8"/>
    <x v="405"/>
    <x v="677"/>
    <n v="9"/>
    <n v="0.17"/>
    <n v="-497.03"/>
  </r>
  <r>
    <s v="ORD-1679"/>
    <x v="679"/>
    <x v="679"/>
    <x v="2"/>
    <s v="CUST-2327"/>
    <s v="Customer 32"/>
    <x v="2"/>
    <s v="United States"/>
    <s v="Houston"/>
    <x v="4"/>
    <n v="10219"/>
    <x v="1"/>
    <s v="PROD-6627"/>
    <x v="1"/>
    <x v="10"/>
    <x v="230"/>
    <x v="678"/>
    <n v="12"/>
    <n v="0.34"/>
    <n v="2140.5100000000002"/>
  </r>
  <r>
    <s v="ORD-1680"/>
    <x v="680"/>
    <x v="680"/>
    <x v="2"/>
    <s v="CUST-8202"/>
    <s v="Customer 453"/>
    <x v="1"/>
    <s v="United States"/>
    <s v="Denver"/>
    <x v="8"/>
    <n v="75733"/>
    <x v="2"/>
    <s v="PROD-9073"/>
    <x v="2"/>
    <x v="11"/>
    <x v="406"/>
    <x v="679"/>
    <n v="10"/>
    <n v="0.15"/>
    <n v="-13.59"/>
  </r>
  <r>
    <s v="ORD-1681"/>
    <x v="681"/>
    <x v="681"/>
    <x v="0"/>
    <s v="CUST-1955"/>
    <s v="Customer 312"/>
    <x v="1"/>
    <s v="United States"/>
    <s v="New York"/>
    <x v="2"/>
    <n v="54863"/>
    <x v="0"/>
    <s v="PROD-4026"/>
    <x v="1"/>
    <x v="3"/>
    <x v="241"/>
    <x v="680"/>
    <n v="14"/>
    <n v="0.48"/>
    <n v="1642.09"/>
  </r>
  <r>
    <s v="ORD-1682"/>
    <x v="682"/>
    <x v="682"/>
    <x v="2"/>
    <s v="CUST-9195"/>
    <s v="Customer 99"/>
    <x v="2"/>
    <s v="United States"/>
    <s v="Phoenix"/>
    <x v="5"/>
    <n v="79925"/>
    <x v="1"/>
    <s v="PROD-7058"/>
    <x v="0"/>
    <x v="1"/>
    <x v="363"/>
    <x v="681"/>
    <n v="11"/>
    <n v="0.21"/>
    <n v="1175.6600000000001"/>
  </r>
  <r>
    <s v="ORD-1683"/>
    <x v="683"/>
    <x v="683"/>
    <x v="2"/>
    <s v="CUST-8212"/>
    <s v="Customer 101"/>
    <x v="0"/>
    <s v="United States"/>
    <s v="Seattle"/>
    <x v="5"/>
    <n v="61274"/>
    <x v="2"/>
    <s v="PROD-1132"/>
    <x v="2"/>
    <x v="11"/>
    <x v="407"/>
    <x v="682"/>
    <n v="10"/>
    <n v="0.62"/>
    <n v="501.36"/>
  </r>
  <r>
    <s v="ORD-1684"/>
    <x v="684"/>
    <x v="684"/>
    <x v="2"/>
    <s v="CUST-2259"/>
    <s v="Customer 446"/>
    <x v="2"/>
    <s v="United States"/>
    <s v="Denver"/>
    <x v="2"/>
    <n v="53152"/>
    <x v="0"/>
    <s v="PROD-9591"/>
    <x v="1"/>
    <x v="4"/>
    <x v="366"/>
    <x v="683"/>
    <n v="9"/>
    <n v="0.28000000000000003"/>
    <n v="-419.86"/>
  </r>
  <r>
    <s v="ORD-1685"/>
    <x v="685"/>
    <x v="685"/>
    <x v="2"/>
    <s v="CUST-3330"/>
    <s v="Customer 266"/>
    <x v="0"/>
    <s v="United States"/>
    <s v="Los Angeles"/>
    <x v="8"/>
    <n v="90833"/>
    <x v="0"/>
    <s v="PROD-6996"/>
    <x v="2"/>
    <x v="11"/>
    <x v="315"/>
    <x v="684"/>
    <n v="8"/>
    <n v="0.08"/>
    <n v="-350.41"/>
  </r>
  <r>
    <s v="ORD-1686"/>
    <x v="686"/>
    <x v="686"/>
    <x v="1"/>
    <s v="CUST-9026"/>
    <s v="Customer 209"/>
    <x v="0"/>
    <s v="United States"/>
    <s v="Los Angeles"/>
    <x v="5"/>
    <n v="47451"/>
    <x v="3"/>
    <s v="PROD-5582"/>
    <x v="1"/>
    <x v="2"/>
    <x v="22"/>
    <x v="685"/>
    <n v="11"/>
    <n v="0.63"/>
    <n v="240.48"/>
  </r>
  <r>
    <s v="ORD-1687"/>
    <x v="687"/>
    <x v="687"/>
    <x v="1"/>
    <s v="CUST-1183"/>
    <s v="Customer 7"/>
    <x v="0"/>
    <s v="United States"/>
    <s v="Los Angeles"/>
    <x v="7"/>
    <n v="84240"/>
    <x v="0"/>
    <s v="PROD-9936"/>
    <x v="2"/>
    <x v="5"/>
    <x v="213"/>
    <x v="686"/>
    <n v="1"/>
    <n v="0.39"/>
    <n v="-466.08"/>
  </r>
  <r>
    <s v="ORD-1688"/>
    <x v="688"/>
    <x v="688"/>
    <x v="1"/>
    <s v="CUST-4969"/>
    <s v="Customer 460"/>
    <x v="0"/>
    <s v="United States"/>
    <s v="Miami"/>
    <x v="6"/>
    <n v="90662"/>
    <x v="3"/>
    <s v="PROD-3846"/>
    <x v="1"/>
    <x v="4"/>
    <x v="366"/>
    <x v="687"/>
    <n v="12"/>
    <n v="0.89"/>
    <n v="526.41"/>
  </r>
  <r>
    <s v="ORD-1689"/>
    <x v="689"/>
    <x v="689"/>
    <x v="3"/>
    <s v="CUST-5631"/>
    <s v="Customer 378"/>
    <x v="0"/>
    <s v="United States"/>
    <s v="Los Angeles"/>
    <x v="7"/>
    <n v="86163"/>
    <x v="2"/>
    <s v="PROD-9653"/>
    <x v="0"/>
    <x v="9"/>
    <x v="250"/>
    <x v="688"/>
    <n v="13"/>
    <n v="0.44"/>
    <n v="767.19"/>
  </r>
  <r>
    <s v="ORD-1690"/>
    <x v="690"/>
    <x v="690"/>
    <x v="0"/>
    <s v="CUST-3443"/>
    <s v="Customer 335"/>
    <x v="0"/>
    <s v="United States"/>
    <s v="Chicago"/>
    <x v="6"/>
    <n v="62614"/>
    <x v="1"/>
    <s v="PROD-6988"/>
    <x v="1"/>
    <x v="4"/>
    <x v="252"/>
    <x v="689"/>
    <n v="10"/>
    <n v="0.21"/>
    <n v="204.24"/>
  </r>
  <r>
    <s v="ORD-1691"/>
    <x v="691"/>
    <x v="691"/>
    <x v="2"/>
    <s v="CUST-4040"/>
    <s v="Customer 25"/>
    <x v="0"/>
    <s v="United States"/>
    <s v="New York"/>
    <x v="7"/>
    <n v="33315"/>
    <x v="0"/>
    <s v="PROD-1474"/>
    <x v="2"/>
    <x v="5"/>
    <x v="306"/>
    <x v="690"/>
    <n v="7"/>
    <n v="0.72"/>
    <n v="1809.2"/>
  </r>
  <r>
    <s v="ORD-1692"/>
    <x v="692"/>
    <x v="692"/>
    <x v="0"/>
    <s v="CUST-2617"/>
    <s v="Customer 362"/>
    <x v="2"/>
    <s v="United States"/>
    <s v="New York"/>
    <x v="3"/>
    <n v="17052"/>
    <x v="1"/>
    <s v="PROD-9180"/>
    <x v="1"/>
    <x v="10"/>
    <x v="178"/>
    <x v="691"/>
    <n v="3"/>
    <n v="0.22"/>
    <n v="1404.53"/>
  </r>
  <r>
    <s v="ORD-1693"/>
    <x v="693"/>
    <x v="693"/>
    <x v="0"/>
    <s v="CUST-6983"/>
    <s v="Customer 401"/>
    <x v="0"/>
    <s v="United States"/>
    <s v="Seattle"/>
    <x v="1"/>
    <n v="16895"/>
    <x v="3"/>
    <s v="PROD-6260"/>
    <x v="2"/>
    <x v="5"/>
    <x v="360"/>
    <x v="692"/>
    <n v="2"/>
    <n v="0.18"/>
    <n v="950.08"/>
  </r>
  <r>
    <s v="ORD-1694"/>
    <x v="694"/>
    <x v="694"/>
    <x v="3"/>
    <s v="CUST-6305"/>
    <s v="Customer 162"/>
    <x v="1"/>
    <s v="United States"/>
    <s v="Los Angeles"/>
    <x v="0"/>
    <n v="33010"/>
    <x v="3"/>
    <s v="PROD-7170"/>
    <x v="0"/>
    <x v="0"/>
    <x v="198"/>
    <x v="693"/>
    <n v="3"/>
    <n v="0.19"/>
    <n v="2322.29"/>
  </r>
  <r>
    <s v="ORD-1695"/>
    <x v="695"/>
    <x v="695"/>
    <x v="3"/>
    <s v="CUST-2109"/>
    <s v="Customer 402"/>
    <x v="0"/>
    <s v="United States"/>
    <s v="Miami"/>
    <x v="7"/>
    <n v="75730"/>
    <x v="0"/>
    <s v="PROD-5301"/>
    <x v="2"/>
    <x v="7"/>
    <x v="251"/>
    <x v="694"/>
    <n v="6"/>
    <n v="0.55000000000000004"/>
    <n v="642.9"/>
  </r>
  <r>
    <s v="ORD-1696"/>
    <x v="696"/>
    <x v="696"/>
    <x v="3"/>
    <s v="CUST-3825"/>
    <s v="Customer 61"/>
    <x v="1"/>
    <s v="United States"/>
    <s v="Dallas"/>
    <x v="6"/>
    <n v="60075"/>
    <x v="2"/>
    <s v="PROD-5471"/>
    <x v="2"/>
    <x v="11"/>
    <x v="61"/>
    <x v="695"/>
    <n v="9"/>
    <n v="0.3"/>
    <n v="1465.36"/>
  </r>
  <r>
    <s v="ORD-1697"/>
    <x v="697"/>
    <x v="697"/>
    <x v="1"/>
    <s v="CUST-2312"/>
    <s v="Customer 254"/>
    <x v="2"/>
    <s v="United States"/>
    <s v="Los Angeles"/>
    <x v="8"/>
    <n v="94109"/>
    <x v="2"/>
    <s v="PROD-6757"/>
    <x v="2"/>
    <x v="7"/>
    <x v="269"/>
    <x v="696"/>
    <n v="4"/>
    <n v="0.25"/>
    <n v="2592.37"/>
  </r>
  <r>
    <s v="ORD-1698"/>
    <x v="698"/>
    <x v="698"/>
    <x v="3"/>
    <s v="CUST-9826"/>
    <s v="Customer 220"/>
    <x v="0"/>
    <s v="United States"/>
    <s v="Miami"/>
    <x v="0"/>
    <n v="98581"/>
    <x v="0"/>
    <s v="PROD-8453"/>
    <x v="0"/>
    <x v="1"/>
    <x v="224"/>
    <x v="697"/>
    <n v="12"/>
    <n v="0.37"/>
    <n v="2536.87"/>
  </r>
  <r>
    <s v="ORD-1699"/>
    <x v="699"/>
    <x v="699"/>
    <x v="2"/>
    <s v="CUST-3337"/>
    <s v="Customer 440"/>
    <x v="1"/>
    <s v="United States"/>
    <s v="Phoenix"/>
    <x v="0"/>
    <n v="35598"/>
    <x v="0"/>
    <s v="PROD-1643"/>
    <x v="2"/>
    <x v="6"/>
    <x v="350"/>
    <x v="698"/>
    <n v="3"/>
    <n v="0.33"/>
    <n v="-26.26"/>
  </r>
  <r>
    <s v="ORD-1700"/>
    <x v="700"/>
    <x v="700"/>
    <x v="3"/>
    <s v="CUST-3406"/>
    <s v="Customer 64"/>
    <x v="0"/>
    <s v="United States"/>
    <s v="Seattle"/>
    <x v="5"/>
    <n v="77808"/>
    <x v="3"/>
    <s v="PROD-2097"/>
    <x v="0"/>
    <x v="0"/>
    <x v="408"/>
    <x v="699"/>
    <n v="12"/>
    <n v="0.65"/>
    <n v="1543.46"/>
  </r>
  <r>
    <s v="ORD-1701"/>
    <x v="701"/>
    <x v="701"/>
    <x v="3"/>
    <s v="CUST-8294"/>
    <s v="Customer 246"/>
    <x v="2"/>
    <s v="United States"/>
    <s v="Miami"/>
    <x v="5"/>
    <n v="75421"/>
    <x v="1"/>
    <s v="PROD-1327"/>
    <x v="1"/>
    <x v="4"/>
    <x v="409"/>
    <x v="700"/>
    <n v="8"/>
    <n v="0.78"/>
    <n v="-894.26"/>
  </r>
  <r>
    <s v="ORD-1702"/>
    <x v="702"/>
    <x v="702"/>
    <x v="2"/>
    <s v="CUST-7546"/>
    <s v="Customer 373"/>
    <x v="2"/>
    <s v="United States"/>
    <s v="Miami"/>
    <x v="7"/>
    <n v="13087"/>
    <x v="1"/>
    <s v="PROD-4810"/>
    <x v="2"/>
    <x v="5"/>
    <x v="410"/>
    <x v="701"/>
    <n v="14"/>
    <n v="0.28999999999999998"/>
    <n v="-97.85"/>
  </r>
  <r>
    <s v="ORD-1703"/>
    <x v="703"/>
    <x v="703"/>
    <x v="0"/>
    <s v="CUST-2720"/>
    <s v="Customer 381"/>
    <x v="1"/>
    <s v="United States"/>
    <s v="Phoenix"/>
    <x v="5"/>
    <n v="29357"/>
    <x v="0"/>
    <s v="PROD-8460"/>
    <x v="0"/>
    <x v="9"/>
    <x v="125"/>
    <x v="702"/>
    <n v="7"/>
    <n v="0.05"/>
    <n v="95.01"/>
  </r>
  <r>
    <s v="ORD-1704"/>
    <x v="704"/>
    <x v="704"/>
    <x v="3"/>
    <s v="CUST-3050"/>
    <s v="Customer 58"/>
    <x v="1"/>
    <s v="United States"/>
    <s v="Los Angeles"/>
    <x v="2"/>
    <n v="55689"/>
    <x v="2"/>
    <s v="PROD-5698"/>
    <x v="1"/>
    <x v="2"/>
    <x v="411"/>
    <x v="703"/>
    <n v="11"/>
    <n v="0.23"/>
    <n v="135.33000000000001"/>
  </r>
  <r>
    <s v="ORD-1705"/>
    <x v="705"/>
    <x v="705"/>
    <x v="0"/>
    <s v="CUST-5448"/>
    <s v="Customer 479"/>
    <x v="1"/>
    <s v="United States"/>
    <s v="Denver"/>
    <x v="5"/>
    <n v="46160"/>
    <x v="2"/>
    <s v="PROD-4980"/>
    <x v="0"/>
    <x v="1"/>
    <x v="296"/>
    <x v="704"/>
    <n v="2"/>
    <n v="0.79"/>
    <n v="558.92999999999995"/>
  </r>
  <r>
    <s v="ORD-1706"/>
    <x v="706"/>
    <x v="706"/>
    <x v="3"/>
    <s v="CUST-8312"/>
    <s v="Customer 262"/>
    <x v="1"/>
    <s v="United States"/>
    <s v="Chicago"/>
    <x v="8"/>
    <n v="26057"/>
    <x v="3"/>
    <s v="PROD-6972"/>
    <x v="2"/>
    <x v="6"/>
    <x v="325"/>
    <x v="705"/>
    <n v="1"/>
    <n v="0.52"/>
    <n v="-699.84"/>
  </r>
  <r>
    <s v="ORD-1707"/>
    <x v="707"/>
    <x v="707"/>
    <x v="2"/>
    <s v="CUST-7978"/>
    <s v="Customer 227"/>
    <x v="2"/>
    <s v="United States"/>
    <s v="Miami"/>
    <x v="5"/>
    <n v="10169"/>
    <x v="1"/>
    <s v="PROD-3481"/>
    <x v="0"/>
    <x v="1"/>
    <x v="322"/>
    <x v="706"/>
    <n v="4"/>
    <n v="0.56999999999999995"/>
    <n v="-16.2"/>
  </r>
  <r>
    <s v="ORD-1708"/>
    <x v="708"/>
    <x v="708"/>
    <x v="0"/>
    <s v="CUST-8585"/>
    <s v="Customer 21"/>
    <x v="2"/>
    <s v="United States"/>
    <s v="Phoenix"/>
    <x v="3"/>
    <n v="38772"/>
    <x v="0"/>
    <s v="PROD-5541"/>
    <x v="0"/>
    <x v="8"/>
    <x v="345"/>
    <x v="707"/>
    <n v="3"/>
    <n v="0.12"/>
    <n v="45.54"/>
  </r>
  <r>
    <s v="ORD-1709"/>
    <x v="709"/>
    <x v="709"/>
    <x v="0"/>
    <s v="CUST-5566"/>
    <s v="Customer 166"/>
    <x v="1"/>
    <s v="United States"/>
    <s v="Houston"/>
    <x v="4"/>
    <n v="81824"/>
    <x v="2"/>
    <s v="PROD-5771"/>
    <x v="2"/>
    <x v="6"/>
    <x v="353"/>
    <x v="708"/>
    <n v="8"/>
    <n v="0.64"/>
    <n v="280.39"/>
  </r>
  <r>
    <s v="ORD-1710"/>
    <x v="710"/>
    <x v="710"/>
    <x v="1"/>
    <s v="CUST-1694"/>
    <s v="Customer 479"/>
    <x v="1"/>
    <s v="United States"/>
    <s v="New York"/>
    <x v="8"/>
    <n v="40455"/>
    <x v="3"/>
    <s v="PROD-9311"/>
    <x v="1"/>
    <x v="10"/>
    <x v="172"/>
    <x v="709"/>
    <n v="8"/>
    <n v="0.35"/>
    <n v="-340.73"/>
  </r>
  <r>
    <s v="ORD-1711"/>
    <x v="711"/>
    <x v="711"/>
    <x v="2"/>
    <s v="CUST-5561"/>
    <s v="Customer 236"/>
    <x v="2"/>
    <s v="United States"/>
    <s v="Los Angeles"/>
    <x v="5"/>
    <n v="22630"/>
    <x v="2"/>
    <s v="PROD-3976"/>
    <x v="1"/>
    <x v="2"/>
    <x v="412"/>
    <x v="710"/>
    <n v="8"/>
    <n v="0.03"/>
    <n v="-433.51"/>
  </r>
  <r>
    <s v="ORD-1712"/>
    <x v="712"/>
    <x v="712"/>
    <x v="0"/>
    <s v="CUST-2088"/>
    <s v="Customer 431"/>
    <x v="1"/>
    <s v="United States"/>
    <s v="Seattle"/>
    <x v="8"/>
    <n v="32575"/>
    <x v="1"/>
    <s v="PROD-8732"/>
    <x v="2"/>
    <x v="11"/>
    <x v="390"/>
    <x v="711"/>
    <n v="3"/>
    <n v="0.22"/>
    <n v="-729.43"/>
  </r>
  <r>
    <s v="ORD-1713"/>
    <x v="713"/>
    <x v="713"/>
    <x v="3"/>
    <s v="CUST-8097"/>
    <s v="Customer 77"/>
    <x v="2"/>
    <s v="United States"/>
    <s v="Chicago"/>
    <x v="2"/>
    <n v="34077"/>
    <x v="0"/>
    <s v="PROD-1041"/>
    <x v="1"/>
    <x v="10"/>
    <x v="413"/>
    <x v="712"/>
    <n v="12"/>
    <n v="0.88"/>
    <n v="928.61"/>
  </r>
  <r>
    <s v="ORD-1714"/>
    <x v="714"/>
    <x v="714"/>
    <x v="0"/>
    <s v="CUST-2613"/>
    <s v="Customer 167"/>
    <x v="2"/>
    <s v="United States"/>
    <s v="Miami"/>
    <x v="2"/>
    <n v="60230"/>
    <x v="3"/>
    <s v="PROD-9453"/>
    <x v="1"/>
    <x v="2"/>
    <x v="218"/>
    <x v="713"/>
    <n v="8"/>
    <n v="0.68"/>
    <n v="2534.88"/>
  </r>
  <r>
    <s v="ORD-1715"/>
    <x v="715"/>
    <x v="715"/>
    <x v="1"/>
    <s v="CUST-3998"/>
    <s v="Customer 323"/>
    <x v="0"/>
    <s v="United States"/>
    <s v="Seattle"/>
    <x v="7"/>
    <n v="94253"/>
    <x v="0"/>
    <s v="PROD-2215"/>
    <x v="2"/>
    <x v="7"/>
    <x v="414"/>
    <x v="714"/>
    <n v="10"/>
    <n v="0.84"/>
    <n v="-700.75"/>
  </r>
  <r>
    <s v="ORD-1716"/>
    <x v="716"/>
    <x v="716"/>
    <x v="0"/>
    <s v="CUST-8027"/>
    <s v="Customer 284"/>
    <x v="2"/>
    <s v="United States"/>
    <s v="Phoenix"/>
    <x v="5"/>
    <n v="80122"/>
    <x v="3"/>
    <s v="PROD-1205"/>
    <x v="1"/>
    <x v="10"/>
    <x v="390"/>
    <x v="715"/>
    <n v="11"/>
    <n v="0.66"/>
    <n v="835.18"/>
  </r>
  <r>
    <s v="ORD-1717"/>
    <x v="717"/>
    <x v="717"/>
    <x v="1"/>
    <s v="CUST-3185"/>
    <s v="Customer 233"/>
    <x v="2"/>
    <s v="United States"/>
    <s v="Phoenix"/>
    <x v="2"/>
    <n v="49516"/>
    <x v="0"/>
    <s v="PROD-6329"/>
    <x v="0"/>
    <x v="0"/>
    <x v="415"/>
    <x v="716"/>
    <n v="4"/>
    <n v="0.45"/>
    <n v="314.83"/>
  </r>
  <r>
    <s v="ORD-1718"/>
    <x v="718"/>
    <x v="718"/>
    <x v="0"/>
    <s v="CUST-5407"/>
    <s v="Customer 172"/>
    <x v="0"/>
    <s v="United States"/>
    <s v="Chicago"/>
    <x v="6"/>
    <n v="77019"/>
    <x v="1"/>
    <s v="PROD-8379"/>
    <x v="1"/>
    <x v="10"/>
    <x v="416"/>
    <x v="717"/>
    <n v="2"/>
    <n v="0.83"/>
    <n v="1295.8399999999999"/>
  </r>
  <r>
    <s v="ORD-1719"/>
    <x v="719"/>
    <x v="719"/>
    <x v="2"/>
    <s v="CUST-5591"/>
    <s v="Customer 219"/>
    <x v="1"/>
    <s v="United States"/>
    <s v="Seattle"/>
    <x v="1"/>
    <n v="15996"/>
    <x v="2"/>
    <s v="PROD-6268"/>
    <x v="1"/>
    <x v="10"/>
    <x v="314"/>
    <x v="718"/>
    <n v="11"/>
    <n v="0.36"/>
    <n v="2153.88"/>
  </r>
  <r>
    <s v="ORD-1720"/>
    <x v="720"/>
    <x v="720"/>
    <x v="1"/>
    <s v="CUST-5915"/>
    <s v="Customer 456"/>
    <x v="2"/>
    <s v="United States"/>
    <s v="Denver"/>
    <x v="0"/>
    <n v="52790"/>
    <x v="3"/>
    <s v="PROD-5539"/>
    <x v="1"/>
    <x v="3"/>
    <x v="53"/>
    <x v="719"/>
    <n v="3"/>
    <n v="0.2"/>
    <n v="1335.59"/>
  </r>
  <r>
    <s v="ORD-1721"/>
    <x v="721"/>
    <x v="721"/>
    <x v="3"/>
    <s v="CUST-1896"/>
    <s v="Customer 480"/>
    <x v="1"/>
    <s v="United States"/>
    <s v="Miami"/>
    <x v="5"/>
    <n v="21410"/>
    <x v="3"/>
    <s v="PROD-7883"/>
    <x v="2"/>
    <x v="11"/>
    <x v="253"/>
    <x v="720"/>
    <n v="2"/>
    <n v="0.72"/>
    <n v="546.47"/>
  </r>
  <r>
    <s v="ORD-1722"/>
    <x v="722"/>
    <x v="722"/>
    <x v="2"/>
    <s v="CUST-7660"/>
    <s v="Customer 138"/>
    <x v="2"/>
    <s v="United States"/>
    <s v="New York"/>
    <x v="2"/>
    <n v="45305"/>
    <x v="3"/>
    <s v="PROD-4809"/>
    <x v="0"/>
    <x v="1"/>
    <x v="34"/>
    <x v="721"/>
    <n v="11"/>
    <n v="0.23"/>
    <n v="261.85000000000002"/>
  </r>
  <r>
    <s v="ORD-1723"/>
    <x v="723"/>
    <x v="723"/>
    <x v="0"/>
    <s v="CUST-1630"/>
    <s v="Customer 298"/>
    <x v="0"/>
    <s v="United States"/>
    <s v="Phoenix"/>
    <x v="4"/>
    <n v="81568"/>
    <x v="2"/>
    <s v="PROD-4697"/>
    <x v="1"/>
    <x v="2"/>
    <x v="417"/>
    <x v="722"/>
    <n v="6"/>
    <n v="0.87"/>
    <n v="-177.43"/>
  </r>
  <r>
    <s v="ORD-1724"/>
    <x v="724"/>
    <x v="724"/>
    <x v="1"/>
    <s v="CUST-8432"/>
    <s v="Customer 122"/>
    <x v="0"/>
    <s v="United States"/>
    <s v="Seattle"/>
    <x v="7"/>
    <n v="47461"/>
    <x v="2"/>
    <s v="PROD-2428"/>
    <x v="0"/>
    <x v="8"/>
    <x v="49"/>
    <x v="723"/>
    <n v="14"/>
    <n v="0.63"/>
    <n v="-120.52"/>
  </r>
  <r>
    <s v="ORD-1725"/>
    <x v="725"/>
    <x v="725"/>
    <x v="2"/>
    <s v="CUST-6539"/>
    <s v="Customer 152"/>
    <x v="1"/>
    <s v="United States"/>
    <s v="New York"/>
    <x v="3"/>
    <n v="50219"/>
    <x v="3"/>
    <s v="PROD-8965"/>
    <x v="0"/>
    <x v="8"/>
    <x v="418"/>
    <x v="724"/>
    <n v="3"/>
    <n v="0.74"/>
    <n v="995.1"/>
  </r>
  <r>
    <s v="ORD-1726"/>
    <x v="726"/>
    <x v="726"/>
    <x v="3"/>
    <s v="CUST-2576"/>
    <s v="Customer 203"/>
    <x v="0"/>
    <s v="United States"/>
    <s v="Denver"/>
    <x v="2"/>
    <n v="41847"/>
    <x v="0"/>
    <s v="PROD-1912"/>
    <x v="0"/>
    <x v="0"/>
    <x v="35"/>
    <x v="725"/>
    <n v="10"/>
    <n v="0.83"/>
    <n v="2322.98"/>
  </r>
  <r>
    <s v="ORD-1727"/>
    <x v="727"/>
    <x v="727"/>
    <x v="3"/>
    <s v="CUST-1669"/>
    <s v="Customer 193"/>
    <x v="0"/>
    <s v="United States"/>
    <s v="Dallas"/>
    <x v="0"/>
    <n v="67161"/>
    <x v="1"/>
    <s v="PROD-7052"/>
    <x v="1"/>
    <x v="2"/>
    <x v="244"/>
    <x v="726"/>
    <n v="4"/>
    <n v="0.67"/>
    <n v="1793.5"/>
  </r>
  <r>
    <s v="ORD-1728"/>
    <x v="728"/>
    <x v="728"/>
    <x v="3"/>
    <s v="CUST-5349"/>
    <s v="Customer 370"/>
    <x v="2"/>
    <s v="United States"/>
    <s v="Denver"/>
    <x v="2"/>
    <n v="14765"/>
    <x v="2"/>
    <s v="PROD-4518"/>
    <x v="2"/>
    <x v="7"/>
    <x v="375"/>
    <x v="727"/>
    <n v="4"/>
    <n v="0.46"/>
    <n v="544.86"/>
  </r>
  <r>
    <s v="ORD-1729"/>
    <x v="729"/>
    <x v="729"/>
    <x v="2"/>
    <s v="CUST-8769"/>
    <s v="Customer 175"/>
    <x v="1"/>
    <s v="United States"/>
    <s v="Los Angeles"/>
    <x v="5"/>
    <n v="60035"/>
    <x v="0"/>
    <s v="PROD-3375"/>
    <x v="0"/>
    <x v="9"/>
    <x v="314"/>
    <x v="728"/>
    <n v="13"/>
    <n v="0.14000000000000001"/>
    <n v="228.87"/>
  </r>
  <r>
    <s v="ORD-1730"/>
    <x v="730"/>
    <x v="730"/>
    <x v="1"/>
    <s v="CUST-3338"/>
    <s v="Customer 465"/>
    <x v="0"/>
    <s v="United States"/>
    <s v="Phoenix"/>
    <x v="0"/>
    <n v="70859"/>
    <x v="3"/>
    <s v="PROD-7254"/>
    <x v="2"/>
    <x v="6"/>
    <x v="419"/>
    <x v="729"/>
    <n v="8"/>
    <n v="0.19"/>
    <n v="1578.19"/>
  </r>
  <r>
    <s v="ORD-1731"/>
    <x v="731"/>
    <x v="731"/>
    <x v="3"/>
    <s v="CUST-4262"/>
    <s v="Customer 485"/>
    <x v="0"/>
    <s v="United States"/>
    <s v="Denver"/>
    <x v="0"/>
    <n v="94989"/>
    <x v="2"/>
    <s v="PROD-9435"/>
    <x v="1"/>
    <x v="10"/>
    <x v="420"/>
    <x v="730"/>
    <n v="12"/>
    <n v="0.79"/>
    <n v="612.08000000000004"/>
  </r>
  <r>
    <s v="ORD-1732"/>
    <x v="732"/>
    <x v="732"/>
    <x v="2"/>
    <s v="CUST-1681"/>
    <s v="Customer 448"/>
    <x v="0"/>
    <s v="United States"/>
    <s v="Chicago"/>
    <x v="2"/>
    <n v="78385"/>
    <x v="2"/>
    <s v="PROD-8849"/>
    <x v="0"/>
    <x v="1"/>
    <x v="80"/>
    <x v="731"/>
    <n v="4"/>
    <n v="0.24"/>
    <n v="21.95"/>
  </r>
  <r>
    <s v="ORD-1733"/>
    <x v="733"/>
    <x v="733"/>
    <x v="1"/>
    <s v="CUST-4961"/>
    <s v="Customer 357"/>
    <x v="0"/>
    <s v="United States"/>
    <s v="Chicago"/>
    <x v="4"/>
    <n v="13969"/>
    <x v="0"/>
    <s v="PROD-2944"/>
    <x v="1"/>
    <x v="3"/>
    <x v="279"/>
    <x v="732"/>
    <n v="12"/>
    <n v="0.65"/>
    <n v="1686.78"/>
  </r>
  <r>
    <s v="ORD-1734"/>
    <x v="734"/>
    <x v="734"/>
    <x v="1"/>
    <s v="CUST-4970"/>
    <s v="Customer 37"/>
    <x v="2"/>
    <s v="United States"/>
    <s v="Chicago"/>
    <x v="6"/>
    <n v="17604"/>
    <x v="1"/>
    <s v="PROD-1428"/>
    <x v="0"/>
    <x v="9"/>
    <x v="45"/>
    <x v="733"/>
    <n v="9"/>
    <n v="0.56999999999999995"/>
    <n v="362.73"/>
  </r>
  <r>
    <s v="ORD-1735"/>
    <x v="735"/>
    <x v="735"/>
    <x v="2"/>
    <s v="CUST-9368"/>
    <s v="Customer 237"/>
    <x v="2"/>
    <s v="United States"/>
    <s v="New York"/>
    <x v="7"/>
    <n v="67266"/>
    <x v="3"/>
    <s v="PROD-4504"/>
    <x v="1"/>
    <x v="2"/>
    <x v="365"/>
    <x v="734"/>
    <n v="8"/>
    <n v="0.19"/>
    <n v="-656.7"/>
  </r>
  <r>
    <s v="ORD-1736"/>
    <x v="736"/>
    <x v="736"/>
    <x v="1"/>
    <s v="CUST-9407"/>
    <s v="Customer 44"/>
    <x v="2"/>
    <s v="United States"/>
    <s v="New York"/>
    <x v="3"/>
    <n v="90637"/>
    <x v="3"/>
    <s v="PROD-5863"/>
    <x v="0"/>
    <x v="9"/>
    <x v="207"/>
    <x v="735"/>
    <n v="12"/>
    <n v="0.01"/>
    <n v="116.38"/>
  </r>
  <r>
    <s v="ORD-1737"/>
    <x v="737"/>
    <x v="737"/>
    <x v="1"/>
    <s v="CUST-5432"/>
    <s v="Customer 267"/>
    <x v="1"/>
    <s v="United States"/>
    <s v="Houston"/>
    <x v="6"/>
    <n v="20771"/>
    <x v="0"/>
    <s v="PROD-8592"/>
    <x v="1"/>
    <x v="3"/>
    <x v="421"/>
    <x v="736"/>
    <n v="12"/>
    <n v="0.65"/>
    <n v="-43.09"/>
  </r>
  <r>
    <s v="ORD-1738"/>
    <x v="738"/>
    <x v="738"/>
    <x v="2"/>
    <s v="CUST-2745"/>
    <s v="Customer 285"/>
    <x v="2"/>
    <s v="United States"/>
    <s v="Houston"/>
    <x v="1"/>
    <n v="49602"/>
    <x v="0"/>
    <s v="PROD-2025"/>
    <x v="1"/>
    <x v="3"/>
    <x v="19"/>
    <x v="737"/>
    <n v="14"/>
    <n v="0.81"/>
    <n v="734.61"/>
  </r>
  <r>
    <s v="ORD-1739"/>
    <x v="739"/>
    <x v="739"/>
    <x v="2"/>
    <s v="CUST-7578"/>
    <s v="Customer 237"/>
    <x v="2"/>
    <s v="United States"/>
    <s v="Phoenix"/>
    <x v="2"/>
    <n v="76568"/>
    <x v="2"/>
    <s v="PROD-5445"/>
    <x v="2"/>
    <x v="7"/>
    <x v="63"/>
    <x v="738"/>
    <n v="5"/>
    <n v="0.84"/>
    <n v="419.15"/>
  </r>
  <r>
    <s v="ORD-1740"/>
    <x v="740"/>
    <x v="740"/>
    <x v="2"/>
    <s v="CUST-5285"/>
    <s v="Customer 184"/>
    <x v="2"/>
    <s v="United States"/>
    <s v="New York"/>
    <x v="1"/>
    <n v="83987"/>
    <x v="0"/>
    <s v="PROD-5300"/>
    <x v="2"/>
    <x v="11"/>
    <x v="91"/>
    <x v="739"/>
    <n v="10"/>
    <n v="0.54"/>
    <n v="295.98"/>
  </r>
  <r>
    <s v="ORD-1741"/>
    <x v="741"/>
    <x v="741"/>
    <x v="1"/>
    <s v="CUST-1353"/>
    <s v="Customer 82"/>
    <x v="2"/>
    <s v="United States"/>
    <s v="Phoenix"/>
    <x v="8"/>
    <n v="30370"/>
    <x v="3"/>
    <s v="PROD-9801"/>
    <x v="2"/>
    <x v="6"/>
    <x v="128"/>
    <x v="740"/>
    <n v="2"/>
    <n v="0.44"/>
    <n v="-201.1"/>
  </r>
  <r>
    <s v="ORD-1742"/>
    <x v="742"/>
    <x v="742"/>
    <x v="1"/>
    <s v="CUST-8131"/>
    <s v="Customer 99"/>
    <x v="0"/>
    <s v="United States"/>
    <s v="New York"/>
    <x v="6"/>
    <n v="10447"/>
    <x v="3"/>
    <s v="PROD-2862"/>
    <x v="0"/>
    <x v="0"/>
    <x v="362"/>
    <x v="741"/>
    <n v="5"/>
    <n v="0.32"/>
    <n v="122.61"/>
  </r>
  <r>
    <s v="ORD-1743"/>
    <x v="743"/>
    <x v="743"/>
    <x v="2"/>
    <s v="CUST-9151"/>
    <s v="Customer 407"/>
    <x v="0"/>
    <s v="United States"/>
    <s v="New York"/>
    <x v="8"/>
    <n v="91314"/>
    <x v="2"/>
    <s v="PROD-7436"/>
    <x v="2"/>
    <x v="7"/>
    <x v="422"/>
    <x v="742"/>
    <n v="7"/>
    <n v="0.5"/>
    <n v="292.48"/>
  </r>
  <r>
    <s v="ORD-1744"/>
    <x v="744"/>
    <x v="744"/>
    <x v="1"/>
    <s v="CUST-8739"/>
    <s v="Customer 152"/>
    <x v="1"/>
    <s v="United States"/>
    <s v="New York"/>
    <x v="4"/>
    <n v="34650"/>
    <x v="3"/>
    <s v="PROD-4997"/>
    <x v="1"/>
    <x v="4"/>
    <x v="423"/>
    <x v="743"/>
    <n v="13"/>
    <n v="0.38"/>
    <n v="-267.11"/>
  </r>
  <r>
    <s v="ORD-1745"/>
    <x v="745"/>
    <x v="745"/>
    <x v="0"/>
    <s v="CUST-9761"/>
    <s v="Customer 297"/>
    <x v="1"/>
    <s v="United States"/>
    <s v="Seattle"/>
    <x v="1"/>
    <n v="52316"/>
    <x v="1"/>
    <s v="PROD-3856"/>
    <x v="2"/>
    <x v="11"/>
    <x v="424"/>
    <x v="744"/>
    <n v="6"/>
    <n v="0.17"/>
    <n v="1246.0999999999999"/>
  </r>
  <r>
    <s v="ORD-1746"/>
    <x v="746"/>
    <x v="746"/>
    <x v="1"/>
    <s v="CUST-6206"/>
    <s v="Customer 17"/>
    <x v="2"/>
    <s v="United States"/>
    <s v="Dallas"/>
    <x v="8"/>
    <n v="75855"/>
    <x v="3"/>
    <s v="PROD-2185"/>
    <x v="2"/>
    <x v="6"/>
    <x v="172"/>
    <x v="745"/>
    <n v="8"/>
    <n v="0.88"/>
    <n v="976.44"/>
  </r>
  <r>
    <s v="ORD-1747"/>
    <x v="747"/>
    <x v="747"/>
    <x v="3"/>
    <s v="CUST-3390"/>
    <s v="Customer 118"/>
    <x v="2"/>
    <s v="United States"/>
    <s v="Houston"/>
    <x v="1"/>
    <n v="69735"/>
    <x v="0"/>
    <s v="PROD-5540"/>
    <x v="2"/>
    <x v="6"/>
    <x v="425"/>
    <x v="746"/>
    <n v="14"/>
    <n v="0.74"/>
    <n v="194.47"/>
  </r>
  <r>
    <s v="ORD-1748"/>
    <x v="748"/>
    <x v="748"/>
    <x v="2"/>
    <s v="CUST-1404"/>
    <s v="Customer 384"/>
    <x v="2"/>
    <s v="United States"/>
    <s v="Houston"/>
    <x v="2"/>
    <n v="12640"/>
    <x v="0"/>
    <s v="PROD-2904"/>
    <x v="2"/>
    <x v="5"/>
    <x v="192"/>
    <x v="747"/>
    <n v="1"/>
    <n v="0.18"/>
    <n v="1530.01"/>
  </r>
  <r>
    <s v="ORD-1749"/>
    <x v="749"/>
    <x v="749"/>
    <x v="2"/>
    <s v="CUST-4282"/>
    <s v="Customer 185"/>
    <x v="1"/>
    <s v="United States"/>
    <s v="Miami"/>
    <x v="7"/>
    <n v="35022"/>
    <x v="1"/>
    <s v="PROD-7130"/>
    <x v="0"/>
    <x v="0"/>
    <x v="353"/>
    <x v="748"/>
    <n v="6"/>
    <n v="0.62"/>
    <n v="-270.36"/>
  </r>
  <r>
    <s v="ORD-1750"/>
    <x v="750"/>
    <x v="750"/>
    <x v="1"/>
    <s v="CUST-2465"/>
    <s v="Customer 411"/>
    <x v="1"/>
    <s v="United States"/>
    <s v="New York"/>
    <x v="8"/>
    <n v="63061"/>
    <x v="3"/>
    <s v="PROD-6442"/>
    <x v="2"/>
    <x v="7"/>
    <x v="367"/>
    <x v="749"/>
    <n v="4"/>
    <n v="0.15"/>
    <n v="-70.67"/>
  </r>
  <r>
    <s v="ORD-1751"/>
    <x v="751"/>
    <x v="751"/>
    <x v="2"/>
    <s v="CUST-9845"/>
    <s v="Customer 458"/>
    <x v="2"/>
    <s v="United States"/>
    <s v="New York"/>
    <x v="2"/>
    <n v="61426"/>
    <x v="2"/>
    <s v="PROD-7604"/>
    <x v="0"/>
    <x v="0"/>
    <x v="359"/>
    <x v="750"/>
    <n v="13"/>
    <n v="0.67"/>
    <n v="177.78"/>
  </r>
  <r>
    <s v="ORD-1752"/>
    <x v="752"/>
    <x v="752"/>
    <x v="0"/>
    <s v="CUST-3786"/>
    <s v="Customer 224"/>
    <x v="2"/>
    <s v="United States"/>
    <s v="Los Angeles"/>
    <x v="8"/>
    <n v="42737"/>
    <x v="1"/>
    <s v="PROD-2252"/>
    <x v="0"/>
    <x v="1"/>
    <x v="158"/>
    <x v="751"/>
    <n v="11"/>
    <n v="0.15"/>
    <n v="-648.13"/>
  </r>
  <r>
    <s v="ORD-1753"/>
    <x v="753"/>
    <x v="753"/>
    <x v="2"/>
    <s v="CUST-1410"/>
    <s v="Customer 176"/>
    <x v="0"/>
    <s v="United States"/>
    <s v="New York"/>
    <x v="8"/>
    <n v="71844"/>
    <x v="1"/>
    <s v="PROD-1858"/>
    <x v="1"/>
    <x v="2"/>
    <x v="422"/>
    <x v="752"/>
    <n v="10"/>
    <n v="0.64"/>
    <n v="-371.66"/>
  </r>
  <r>
    <s v="ORD-1754"/>
    <x v="754"/>
    <x v="754"/>
    <x v="3"/>
    <s v="CUST-7799"/>
    <s v="Customer 139"/>
    <x v="2"/>
    <s v="United States"/>
    <s v="Phoenix"/>
    <x v="8"/>
    <n v="83367"/>
    <x v="2"/>
    <s v="PROD-6916"/>
    <x v="2"/>
    <x v="7"/>
    <x v="133"/>
    <x v="753"/>
    <n v="2"/>
    <n v="0.04"/>
    <n v="-560.55999999999995"/>
  </r>
  <r>
    <s v="ORD-1755"/>
    <x v="755"/>
    <x v="755"/>
    <x v="2"/>
    <s v="CUST-8466"/>
    <s v="Customer 252"/>
    <x v="1"/>
    <s v="United States"/>
    <s v="Phoenix"/>
    <x v="4"/>
    <n v="68623"/>
    <x v="1"/>
    <s v="PROD-4580"/>
    <x v="1"/>
    <x v="10"/>
    <x v="107"/>
    <x v="754"/>
    <n v="14"/>
    <n v="0.45"/>
    <n v="1652.47"/>
  </r>
  <r>
    <s v="ORD-1756"/>
    <x v="756"/>
    <x v="756"/>
    <x v="3"/>
    <s v="CUST-1005"/>
    <s v="Customer 484"/>
    <x v="2"/>
    <s v="United States"/>
    <s v="Chicago"/>
    <x v="8"/>
    <n v="15001"/>
    <x v="3"/>
    <s v="PROD-7513"/>
    <x v="1"/>
    <x v="10"/>
    <x v="426"/>
    <x v="755"/>
    <n v="11"/>
    <n v="0.88"/>
    <n v="1597.1"/>
  </r>
  <r>
    <s v="ORD-1757"/>
    <x v="757"/>
    <x v="757"/>
    <x v="1"/>
    <s v="CUST-2222"/>
    <s v="Customer 436"/>
    <x v="0"/>
    <s v="United States"/>
    <s v="Seattle"/>
    <x v="5"/>
    <n v="79855"/>
    <x v="0"/>
    <s v="PROD-9569"/>
    <x v="0"/>
    <x v="8"/>
    <x v="73"/>
    <x v="756"/>
    <n v="4"/>
    <n v="0.65"/>
    <n v="300.64999999999998"/>
  </r>
  <r>
    <s v="ORD-1758"/>
    <x v="758"/>
    <x v="758"/>
    <x v="1"/>
    <s v="CUST-9349"/>
    <s v="Customer 457"/>
    <x v="0"/>
    <s v="United States"/>
    <s v="Houston"/>
    <x v="6"/>
    <n v="91927"/>
    <x v="3"/>
    <s v="PROD-8293"/>
    <x v="1"/>
    <x v="3"/>
    <x v="22"/>
    <x v="757"/>
    <n v="14"/>
    <n v="0.26"/>
    <n v="46.02"/>
  </r>
  <r>
    <s v="ORD-1759"/>
    <x v="759"/>
    <x v="759"/>
    <x v="0"/>
    <s v="CUST-2469"/>
    <s v="Customer 306"/>
    <x v="2"/>
    <s v="United States"/>
    <s v="Miami"/>
    <x v="1"/>
    <n v="49405"/>
    <x v="0"/>
    <s v="PROD-9749"/>
    <x v="1"/>
    <x v="3"/>
    <x v="427"/>
    <x v="758"/>
    <n v="13"/>
    <n v="0.34"/>
    <n v="-102.1"/>
  </r>
  <r>
    <s v="ORD-1760"/>
    <x v="760"/>
    <x v="760"/>
    <x v="3"/>
    <s v="CUST-5029"/>
    <s v="Customer 306"/>
    <x v="1"/>
    <s v="United States"/>
    <s v="Dallas"/>
    <x v="5"/>
    <n v="94734"/>
    <x v="3"/>
    <s v="PROD-1280"/>
    <x v="0"/>
    <x v="0"/>
    <x v="428"/>
    <x v="759"/>
    <n v="11"/>
    <n v="0.27"/>
    <n v="580.28"/>
  </r>
  <r>
    <s v="ORD-1761"/>
    <x v="761"/>
    <x v="761"/>
    <x v="0"/>
    <s v="CUST-2552"/>
    <s v="Customer 225"/>
    <x v="0"/>
    <s v="United States"/>
    <s v="Los Angeles"/>
    <x v="3"/>
    <n v="26539"/>
    <x v="2"/>
    <s v="PROD-3813"/>
    <x v="2"/>
    <x v="5"/>
    <x v="125"/>
    <x v="760"/>
    <n v="4"/>
    <n v="0.03"/>
    <n v="-370.81"/>
  </r>
  <r>
    <s v="ORD-1762"/>
    <x v="762"/>
    <x v="762"/>
    <x v="2"/>
    <s v="CUST-5316"/>
    <s v="Customer 235"/>
    <x v="0"/>
    <s v="United States"/>
    <s v="Seattle"/>
    <x v="5"/>
    <n v="69376"/>
    <x v="2"/>
    <s v="PROD-1729"/>
    <x v="1"/>
    <x v="10"/>
    <x v="103"/>
    <x v="761"/>
    <n v="14"/>
    <n v="0.67"/>
    <n v="2462.63"/>
  </r>
  <r>
    <s v="ORD-1763"/>
    <x v="763"/>
    <x v="763"/>
    <x v="1"/>
    <s v="CUST-2452"/>
    <s v="Customer 397"/>
    <x v="1"/>
    <s v="United States"/>
    <s v="Los Angeles"/>
    <x v="8"/>
    <n v="73032"/>
    <x v="2"/>
    <s v="PROD-5797"/>
    <x v="2"/>
    <x v="7"/>
    <x v="403"/>
    <x v="762"/>
    <n v="13"/>
    <n v="0.49"/>
    <n v="-49.67"/>
  </r>
  <r>
    <s v="ORD-1764"/>
    <x v="764"/>
    <x v="764"/>
    <x v="1"/>
    <s v="CUST-6779"/>
    <s v="Customer 426"/>
    <x v="0"/>
    <s v="United States"/>
    <s v="Houston"/>
    <x v="4"/>
    <n v="65714"/>
    <x v="2"/>
    <s v="PROD-8589"/>
    <x v="2"/>
    <x v="6"/>
    <x v="188"/>
    <x v="763"/>
    <n v="13"/>
    <n v="0.49"/>
    <n v="-540.21"/>
  </r>
  <r>
    <s v="ORD-1765"/>
    <x v="765"/>
    <x v="765"/>
    <x v="3"/>
    <s v="CUST-3236"/>
    <s v="Customer 220"/>
    <x v="1"/>
    <s v="United States"/>
    <s v="Dallas"/>
    <x v="4"/>
    <n v="12137"/>
    <x v="1"/>
    <s v="PROD-9492"/>
    <x v="1"/>
    <x v="3"/>
    <x v="429"/>
    <x v="764"/>
    <n v="13"/>
    <n v="0.1"/>
    <n v="-116.37"/>
  </r>
  <r>
    <s v="ORD-1766"/>
    <x v="766"/>
    <x v="766"/>
    <x v="0"/>
    <s v="CUST-2394"/>
    <s v="Customer 25"/>
    <x v="1"/>
    <s v="United States"/>
    <s v="Dallas"/>
    <x v="1"/>
    <n v="92690"/>
    <x v="0"/>
    <s v="PROD-8126"/>
    <x v="1"/>
    <x v="2"/>
    <x v="373"/>
    <x v="765"/>
    <n v="5"/>
    <n v="0.21"/>
    <n v="-637.04999999999995"/>
  </r>
  <r>
    <s v="ORD-1767"/>
    <x v="767"/>
    <x v="767"/>
    <x v="2"/>
    <s v="CUST-7846"/>
    <s v="Customer 26"/>
    <x v="2"/>
    <s v="United States"/>
    <s v="Miami"/>
    <x v="7"/>
    <n v="15195"/>
    <x v="3"/>
    <s v="PROD-1782"/>
    <x v="0"/>
    <x v="1"/>
    <x v="233"/>
    <x v="766"/>
    <n v="14"/>
    <n v="0.14000000000000001"/>
    <n v="57.9"/>
  </r>
  <r>
    <s v="ORD-1768"/>
    <x v="768"/>
    <x v="768"/>
    <x v="3"/>
    <s v="CUST-6732"/>
    <s v="Customer 289"/>
    <x v="2"/>
    <s v="United States"/>
    <s v="Miami"/>
    <x v="1"/>
    <n v="48411"/>
    <x v="2"/>
    <s v="PROD-2089"/>
    <x v="1"/>
    <x v="3"/>
    <x v="222"/>
    <x v="767"/>
    <n v="7"/>
    <n v="0.56000000000000005"/>
    <n v="19.27"/>
  </r>
  <r>
    <s v="ORD-1769"/>
    <x v="769"/>
    <x v="769"/>
    <x v="0"/>
    <s v="CUST-7573"/>
    <s v="Customer 492"/>
    <x v="0"/>
    <s v="United States"/>
    <s v="Phoenix"/>
    <x v="2"/>
    <n v="77960"/>
    <x v="2"/>
    <s v="PROD-8955"/>
    <x v="0"/>
    <x v="0"/>
    <x v="160"/>
    <x v="768"/>
    <n v="7"/>
    <n v="0.65"/>
    <n v="212.78"/>
  </r>
  <r>
    <s v="ORD-1770"/>
    <x v="770"/>
    <x v="770"/>
    <x v="1"/>
    <s v="CUST-3496"/>
    <s v="Customer 363"/>
    <x v="2"/>
    <s v="United States"/>
    <s v="Chicago"/>
    <x v="8"/>
    <n v="73855"/>
    <x v="2"/>
    <s v="PROD-5707"/>
    <x v="1"/>
    <x v="4"/>
    <x v="5"/>
    <x v="769"/>
    <n v="8"/>
    <n v="0.17"/>
    <n v="-19.37"/>
  </r>
  <r>
    <s v="ORD-1771"/>
    <x v="771"/>
    <x v="771"/>
    <x v="1"/>
    <s v="CUST-1970"/>
    <s v="Customer 30"/>
    <x v="0"/>
    <s v="United States"/>
    <s v="Houston"/>
    <x v="1"/>
    <n v="97642"/>
    <x v="1"/>
    <s v="PROD-8450"/>
    <x v="0"/>
    <x v="8"/>
    <x v="427"/>
    <x v="770"/>
    <n v="9"/>
    <n v="0.19"/>
    <n v="51.3"/>
  </r>
  <r>
    <s v="ORD-1772"/>
    <x v="772"/>
    <x v="772"/>
    <x v="2"/>
    <s v="CUST-6974"/>
    <s v="Customer 416"/>
    <x v="2"/>
    <s v="United States"/>
    <s v="Seattle"/>
    <x v="8"/>
    <n v="21470"/>
    <x v="0"/>
    <s v="PROD-2371"/>
    <x v="1"/>
    <x v="10"/>
    <x v="227"/>
    <x v="771"/>
    <n v="9"/>
    <n v="0.67"/>
    <n v="875.98"/>
  </r>
  <r>
    <s v="ORD-1773"/>
    <x v="773"/>
    <x v="773"/>
    <x v="1"/>
    <s v="CUST-3640"/>
    <s v="Customer 405"/>
    <x v="1"/>
    <s v="United States"/>
    <s v="Chicago"/>
    <x v="7"/>
    <n v="46831"/>
    <x v="1"/>
    <s v="PROD-2319"/>
    <x v="2"/>
    <x v="11"/>
    <x v="135"/>
    <x v="772"/>
    <n v="7"/>
    <n v="0.43"/>
    <n v="488.96"/>
  </r>
  <r>
    <s v="ORD-1774"/>
    <x v="774"/>
    <x v="774"/>
    <x v="1"/>
    <s v="CUST-9405"/>
    <s v="Customer 442"/>
    <x v="2"/>
    <s v="United States"/>
    <s v="Houston"/>
    <x v="1"/>
    <n v="20703"/>
    <x v="2"/>
    <s v="PROD-8504"/>
    <x v="0"/>
    <x v="0"/>
    <x v="430"/>
    <x v="773"/>
    <n v="13"/>
    <n v="0.04"/>
    <n v="1834.05"/>
  </r>
  <r>
    <s v="ORD-1775"/>
    <x v="775"/>
    <x v="775"/>
    <x v="0"/>
    <s v="CUST-1045"/>
    <s v="Customer 170"/>
    <x v="1"/>
    <s v="United States"/>
    <s v="Miami"/>
    <x v="5"/>
    <n v="77907"/>
    <x v="1"/>
    <s v="PROD-6663"/>
    <x v="2"/>
    <x v="11"/>
    <x v="46"/>
    <x v="774"/>
    <n v="8"/>
    <n v="0.36"/>
    <n v="372.15"/>
  </r>
  <r>
    <s v="ORD-1776"/>
    <x v="776"/>
    <x v="776"/>
    <x v="3"/>
    <s v="CUST-8195"/>
    <s v="Customer 447"/>
    <x v="2"/>
    <s v="United States"/>
    <s v="New York"/>
    <x v="4"/>
    <n v="68400"/>
    <x v="0"/>
    <s v="PROD-8656"/>
    <x v="1"/>
    <x v="3"/>
    <x v="35"/>
    <x v="775"/>
    <n v="5"/>
    <n v="0.57999999999999996"/>
    <n v="485.85"/>
  </r>
  <r>
    <s v="ORD-1777"/>
    <x v="777"/>
    <x v="777"/>
    <x v="0"/>
    <s v="CUST-1274"/>
    <s v="Customer 223"/>
    <x v="1"/>
    <s v="United States"/>
    <s v="Los Angeles"/>
    <x v="2"/>
    <n v="21480"/>
    <x v="3"/>
    <s v="PROD-4155"/>
    <x v="1"/>
    <x v="10"/>
    <x v="431"/>
    <x v="776"/>
    <n v="9"/>
    <n v="0.7"/>
    <n v="224.8"/>
  </r>
  <r>
    <s v="ORD-1778"/>
    <x v="778"/>
    <x v="778"/>
    <x v="2"/>
    <s v="CUST-7482"/>
    <s v="Customer 424"/>
    <x v="2"/>
    <s v="United States"/>
    <s v="Chicago"/>
    <x v="1"/>
    <n v="57552"/>
    <x v="1"/>
    <s v="PROD-1455"/>
    <x v="0"/>
    <x v="9"/>
    <x v="247"/>
    <x v="777"/>
    <n v="4"/>
    <n v="0.23"/>
    <n v="-267.81"/>
  </r>
  <r>
    <s v="ORD-1779"/>
    <x v="779"/>
    <x v="779"/>
    <x v="3"/>
    <s v="CUST-7657"/>
    <s v="Customer 261"/>
    <x v="2"/>
    <s v="United States"/>
    <s v="Chicago"/>
    <x v="0"/>
    <n v="29842"/>
    <x v="0"/>
    <s v="PROD-9697"/>
    <x v="1"/>
    <x v="4"/>
    <x v="179"/>
    <x v="778"/>
    <n v="11"/>
    <n v="0.44"/>
    <n v="184.06"/>
  </r>
  <r>
    <s v="ORD-1780"/>
    <x v="780"/>
    <x v="780"/>
    <x v="2"/>
    <s v="CUST-2376"/>
    <s v="Customer 354"/>
    <x v="2"/>
    <s v="United States"/>
    <s v="New York"/>
    <x v="4"/>
    <n v="16325"/>
    <x v="1"/>
    <s v="PROD-6236"/>
    <x v="2"/>
    <x v="11"/>
    <x v="191"/>
    <x v="779"/>
    <n v="10"/>
    <n v="0.73"/>
    <n v="81.42"/>
  </r>
  <r>
    <s v="ORD-1781"/>
    <x v="781"/>
    <x v="781"/>
    <x v="2"/>
    <s v="CUST-2948"/>
    <s v="Customer 421"/>
    <x v="2"/>
    <s v="United States"/>
    <s v="Denver"/>
    <x v="0"/>
    <n v="10389"/>
    <x v="3"/>
    <s v="PROD-7937"/>
    <x v="1"/>
    <x v="4"/>
    <x v="203"/>
    <x v="780"/>
    <n v="12"/>
    <n v="0.11"/>
    <n v="63.78"/>
  </r>
  <r>
    <s v="ORD-1782"/>
    <x v="782"/>
    <x v="782"/>
    <x v="0"/>
    <s v="CUST-9015"/>
    <s v="Customer 60"/>
    <x v="0"/>
    <s v="United States"/>
    <s v="Los Angeles"/>
    <x v="0"/>
    <n v="74801"/>
    <x v="0"/>
    <s v="PROD-1223"/>
    <x v="0"/>
    <x v="8"/>
    <x v="258"/>
    <x v="781"/>
    <n v="1"/>
    <n v="0.89"/>
    <n v="621.09"/>
  </r>
  <r>
    <s v="ORD-1783"/>
    <x v="783"/>
    <x v="783"/>
    <x v="3"/>
    <s v="CUST-7814"/>
    <s v="Customer 199"/>
    <x v="1"/>
    <s v="United States"/>
    <s v="Denver"/>
    <x v="7"/>
    <n v="89464"/>
    <x v="2"/>
    <s v="PROD-7855"/>
    <x v="1"/>
    <x v="3"/>
    <x v="317"/>
    <x v="782"/>
    <n v="10"/>
    <n v="0.72"/>
    <n v="159.46"/>
  </r>
  <r>
    <s v="ORD-1784"/>
    <x v="784"/>
    <x v="784"/>
    <x v="2"/>
    <s v="CUST-5288"/>
    <s v="Customer 75"/>
    <x v="1"/>
    <s v="United States"/>
    <s v="Los Angeles"/>
    <x v="7"/>
    <n v="64302"/>
    <x v="2"/>
    <s v="PROD-9986"/>
    <x v="0"/>
    <x v="8"/>
    <x v="186"/>
    <x v="783"/>
    <n v="3"/>
    <n v="0.7"/>
    <n v="-307.58"/>
  </r>
  <r>
    <s v="ORD-1785"/>
    <x v="785"/>
    <x v="785"/>
    <x v="1"/>
    <s v="CUST-8545"/>
    <s v="Customer 350"/>
    <x v="0"/>
    <s v="United States"/>
    <s v="Los Angeles"/>
    <x v="3"/>
    <n v="54930"/>
    <x v="0"/>
    <s v="PROD-3741"/>
    <x v="0"/>
    <x v="0"/>
    <x v="17"/>
    <x v="784"/>
    <n v="1"/>
    <n v="0.8"/>
    <n v="520.49"/>
  </r>
  <r>
    <s v="ORD-1786"/>
    <x v="786"/>
    <x v="786"/>
    <x v="3"/>
    <s v="CUST-2290"/>
    <s v="Customer 481"/>
    <x v="2"/>
    <s v="United States"/>
    <s v="Denver"/>
    <x v="7"/>
    <n v="67311"/>
    <x v="1"/>
    <s v="PROD-8044"/>
    <x v="2"/>
    <x v="7"/>
    <x v="375"/>
    <x v="785"/>
    <n v="9"/>
    <n v="0.52"/>
    <n v="-386.04"/>
  </r>
  <r>
    <s v="ORD-1787"/>
    <x v="787"/>
    <x v="787"/>
    <x v="2"/>
    <s v="CUST-8438"/>
    <s v="Customer 284"/>
    <x v="0"/>
    <s v="United States"/>
    <s v="Denver"/>
    <x v="1"/>
    <n v="64460"/>
    <x v="1"/>
    <s v="PROD-1874"/>
    <x v="1"/>
    <x v="2"/>
    <x v="306"/>
    <x v="786"/>
    <n v="10"/>
    <n v="0.67"/>
    <n v="278.17"/>
  </r>
  <r>
    <s v="ORD-1788"/>
    <x v="788"/>
    <x v="788"/>
    <x v="2"/>
    <s v="CUST-6190"/>
    <s v="Customer 353"/>
    <x v="1"/>
    <s v="United States"/>
    <s v="New York"/>
    <x v="5"/>
    <n v="71005"/>
    <x v="0"/>
    <s v="PROD-7592"/>
    <x v="2"/>
    <x v="5"/>
    <x v="128"/>
    <x v="787"/>
    <n v="8"/>
    <n v="0.82"/>
    <n v="1395.39"/>
  </r>
  <r>
    <s v="ORD-1789"/>
    <x v="789"/>
    <x v="789"/>
    <x v="0"/>
    <s v="CUST-4174"/>
    <s v="Customer 23"/>
    <x v="2"/>
    <s v="United States"/>
    <s v="Miami"/>
    <x v="7"/>
    <n v="57165"/>
    <x v="1"/>
    <s v="PROD-3823"/>
    <x v="2"/>
    <x v="7"/>
    <x v="432"/>
    <x v="788"/>
    <n v="1"/>
    <n v="0.26"/>
    <n v="897.72"/>
  </r>
  <r>
    <s v="ORD-1790"/>
    <x v="790"/>
    <x v="790"/>
    <x v="2"/>
    <s v="CUST-3205"/>
    <s v="Customer 415"/>
    <x v="1"/>
    <s v="United States"/>
    <s v="Denver"/>
    <x v="1"/>
    <n v="65270"/>
    <x v="1"/>
    <s v="PROD-9499"/>
    <x v="0"/>
    <x v="0"/>
    <x v="10"/>
    <x v="789"/>
    <n v="13"/>
    <n v="0.4"/>
    <n v="468.77"/>
  </r>
  <r>
    <s v="ORD-1791"/>
    <x v="791"/>
    <x v="791"/>
    <x v="2"/>
    <s v="CUST-1555"/>
    <s v="Customer 36"/>
    <x v="1"/>
    <s v="United States"/>
    <s v="Los Angeles"/>
    <x v="8"/>
    <n v="88252"/>
    <x v="0"/>
    <s v="PROD-7685"/>
    <x v="2"/>
    <x v="5"/>
    <x v="433"/>
    <x v="790"/>
    <n v="7"/>
    <n v="0.31"/>
    <n v="-226.92"/>
  </r>
  <r>
    <s v="ORD-1792"/>
    <x v="792"/>
    <x v="792"/>
    <x v="1"/>
    <s v="CUST-3350"/>
    <s v="Customer 360"/>
    <x v="1"/>
    <s v="United States"/>
    <s v="Miami"/>
    <x v="0"/>
    <n v="25283"/>
    <x v="3"/>
    <s v="PROD-4753"/>
    <x v="0"/>
    <x v="9"/>
    <x v="359"/>
    <x v="791"/>
    <n v="14"/>
    <n v="0.5"/>
    <n v="-768.63"/>
  </r>
  <r>
    <s v="ORD-1793"/>
    <x v="793"/>
    <x v="793"/>
    <x v="2"/>
    <s v="CUST-2284"/>
    <s v="Customer 334"/>
    <x v="0"/>
    <s v="United States"/>
    <s v="Los Angeles"/>
    <x v="7"/>
    <n v="16344"/>
    <x v="2"/>
    <s v="PROD-2432"/>
    <x v="0"/>
    <x v="0"/>
    <x v="55"/>
    <x v="792"/>
    <n v="6"/>
    <n v="0.54"/>
    <n v="886.76"/>
  </r>
  <r>
    <s v="ORD-1794"/>
    <x v="794"/>
    <x v="794"/>
    <x v="3"/>
    <s v="CUST-1717"/>
    <s v="Customer 459"/>
    <x v="0"/>
    <s v="United States"/>
    <s v="Los Angeles"/>
    <x v="3"/>
    <n v="11531"/>
    <x v="0"/>
    <s v="PROD-1198"/>
    <x v="2"/>
    <x v="11"/>
    <x v="18"/>
    <x v="793"/>
    <n v="14"/>
    <n v="0.32"/>
    <n v="1442.19"/>
  </r>
  <r>
    <s v="ORD-1795"/>
    <x v="795"/>
    <x v="795"/>
    <x v="1"/>
    <s v="CUST-3368"/>
    <s v="Customer 192"/>
    <x v="2"/>
    <s v="United States"/>
    <s v="New York"/>
    <x v="0"/>
    <n v="28406"/>
    <x v="0"/>
    <s v="PROD-3536"/>
    <x v="0"/>
    <x v="0"/>
    <x v="421"/>
    <x v="794"/>
    <n v="6"/>
    <n v="0.56000000000000005"/>
    <n v="40.96"/>
  </r>
  <r>
    <s v="ORD-1796"/>
    <x v="796"/>
    <x v="796"/>
    <x v="0"/>
    <s v="CUST-9734"/>
    <s v="Customer 167"/>
    <x v="1"/>
    <s v="United States"/>
    <s v="Houston"/>
    <x v="0"/>
    <n v="20550"/>
    <x v="0"/>
    <s v="PROD-9667"/>
    <x v="1"/>
    <x v="4"/>
    <x v="434"/>
    <x v="795"/>
    <n v="7"/>
    <n v="0.61"/>
    <n v="10.25"/>
  </r>
  <r>
    <s v="ORD-1797"/>
    <x v="797"/>
    <x v="797"/>
    <x v="2"/>
    <s v="CUST-7810"/>
    <s v="Customer 23"/>
    <x v="0"/>
    <s v="United States"/>
    <s v="Chicago"/>
    <x v="6"/>
    <n v="52349"/>
    <x v="3"/>
    <s v="PROD-3407"/>
    <x v="0"/>
    <x v="0"/>
    <x v="435"/>
    <x v="796"/>
    <n v="11"/>
    <n v="0.18"/>
    <n v="164.74"/>
  </r>
  <r>
    <s v="ORD-1798"/>
    <x v="798"/>
    <x v="798"/>
    <x v="1"/>
    <s v="CUST-6913"/>
    <s v="Customer 231"/>
    <x v="0"/>
    <s v="United States"/>
    <s v="Chicago"/>
    <x v="5"/>
    <n v="23847"/>
    <x v="2"/>
    <s v="PROD-5032"/>
    <x v="1"/>
    <x v="3"/>
    <x v="162"/>
    <x v="797"/>
    <n v="9"/>
    <n v="0.34"/>
    <n v="2012.75"/>
  </r>
  <r>
    <s v="ORD-1799"/>
    <x v="799"/>
    <x v="799"/>
    <x v="2"/>
    <s v="CUST-1509"/>
    <s v="Customer 184"/>
    <x v="0"/>
    <s v="United States"/>
    <s v="Los Angeles"/>
    <x v="4"/>
    <n v="43919"/>
    <x v="1"/>
    <s v="PROD-2244"/>
    <x v="0"/>
    <x v="8"/>
    <x v="436"/>
    <x v="798"/>
    <n v="13"/>
    <n v="0.69"/>
    <n v="-105.66"/>
  </r>
  <r>
    <s v="ORD-1800"/>
    <x v="800"/>
    <x v="800"/>
    <x v="2"/>
    <s v="CUST-8937"/>
    <s v="Customer 356"/>
    <x v="1"/>
    <s v="United States"/>
    <s v="Dallas"/>
    <x v="2"/>
    <n v="76795"/>
    <x v="3"/>
    <s v="PROD-9222"/>
    <x v="2"/>
    <x v="7"/>
    <x v="75"/>
    <x v="799"/>
    <n v="8"/>
    <n v="0.32"/>
    <n v="73.56"/>
  </r>
  <r>
    <s v="ORD-1801"/>
    <x v="801"/>
    <x v="801"/>
    <x v="1"/>
    <s v="CUST-4918"/>
    <s v="Customer 64"/>
    <x v="1"/>
    <s v="United States"/>
    <s v="Houston"/>
    <x v="0"/>
    <n v="65109"/>
    <x v="2"/>
    <s v="PROD-5549"/>
    <x v="1"/>
    <x v="10"/>
    <x v="437"/>
    <x v="800"/>
    <n v="10"/>
    <n v="7.0000000000000007E-2"/>
    <n v="519.05999999999995"/>
  </r>
  <r>
    <s v="ORD-1802"/>
    <x v="802"/>
    <x v="802"/>
    <x v="0"/>
    <s v="CUST-5915"/>
    <s v="Customer 412"/>
    <x v="0"/>
    <s v="United States"/>
    <s v="New York"/>
    <x v="6"/>
    <n v="99272"/>
    <x v="3"/>
    <s v="PROD-9121"/>
    <x v="1"/>
    <x v="2"/>
    <x v="438"/>
    <x v="801"/>
    <n v="2"/>
    <n v="0.74"/>
    <n v="-141.47"/>
  </r>
  <r>
    <s v="ORD-1803"/>
    <x v="803"/>
    <x v="803"/>
    <x v="0"/>
    <s v="CUST-7016"/>
    <s v="Customer 170"/>
    <x v="1"/>
    <s v="United States"/>
    <s v="New York"/>
    <x v="8"/>
    <n v="58258"/>
    <x v="0"/>
    <s v="PROD-1682"/>
    <x v="2"/>
    <x v="7"/>
    <x v="422"/>
    <x v="802"/>
    <n v="8"/>
    <n v="0.82"/>
    <n v="262.72000000000003"/>
  </r>
  <r>
    <s v="ORD-1804"/>
    <x v="804"/>
    <x v="804"/>
    <x v="2"/>
    <s v="CUST-7665"/>
    <s v="Customer 149"/>
    <x v="0"/>
    <s v="United States"/>
    <s v="Los Angeles"/>
    <x v="6"/>
    <n v="56879"/>
    <x v="0"/>
    <s v="PROD-6155"/>
    <x v="0"/>
    <x v="1"/>
    <x v="342"/>
    <x v="803"/>
    <n v="3"/>
    <n v="0.15"/>
    <n v="521.61"/>
  </r>
  <r>
    <s v="ORD-1805"/>
    <x v="805"/>
    <x v="805"/>
    <x v="0"/>
    <s v="CUST-6371"/>
    <s v="Customer 104"/>
    <x v="2"/>
    <s v="United States"/>
    <s v="Seattle"/>
    <x v="7"/>
    <n v="87544"/>
    <x v="3"/>
    <s v="PROD-3904"/>
    <x v="1"/>
    <x v="3"/>
    <x v="291"/>
    <x v="804"/>
    <n v="11"/>
    <n v="0.54"/>
    <n v="-80.33"/>
  </r>
  <r>
    <s v="ORD-1806"/>
    <x v="806"/>
    <x v="806"/>
    <x v="2"/>
    <s v="CUST-4415"/>
    <s v="Customer 47"/>
    <x v="1"/>
    <s v="United States"/>
    <s v="Houston"/>
    <x v="0"/>
    <n v="97246"/>
    <x v="2"/>
    <s v="PROD-6997"/>
    <x v="0"/>
    <x v="0"/>
    <x v="439"/>
    <x v="805"/>
    <n v="2"/>
    <n v="0.81"/>
    <n v="-176.28"/>
  </r>
  <r>
    <s v="ORD-1807"/>
    <x v="807"/>
    <x v="807"/>
    <x v="0"/>
    <s v="CUST-7287"/>
    <s v="Customer 379"/>
    <x v="1"/>
    <s v="United States"/>
    <s v="Houston"/>
    <x v="8"/>
    <n v="51396"/>
    <x v="3"/>
    <s v="PROD-5002"/>
    <x v="0"/>
    <x v="9"/>
    <x v="211"/>
    <x v="806"/>
    <n v="3"/>
    <n v="0.27"/>
    <n v="423.7"/>
  </r>
  <r>
    <s v="ORD-1808"/>
    <x v="808"/>
    <x v="808"/>
    <x v="0"/>
    <s v="CUST-4592"/>
    <s v="Customer 76"/>
    <x v="0"/>
    <s v="United States"/>
    <s v="Houston"/>
    <x v="5"/>
    <n v="31932"/>
    <x v="2"/>
    <s v="PROD-8921"/>
    <x v="1"/>
    <x v="4"/>
    <x v="440"/>
    <x v="807"/>
    <n v="4"/>
    <n v="0.55000000000000004"/>
    <n v="68.650000000000006"/>
  </r>
  <r>
    <s v="ORD-1809"/>
    <x v="809"/>
    <x v="809"/>
    <x v="0"/>
    <s v="CUST-6992"/>
    <s v="Customer 184"/>
    <x v="1"/>
    <s v="United States"/>
    <s v="Houston"/>
    <x v="6"/>
    <n v="41452"/>
    <x v="2"/>
    <s v="PROD-6004"/>
    <x v="2"/>
    <x v="11"/>
    <x v="295"/>
    <x v="808"/>
    <n v="10"/>
    <n v="0.5"/>
    <n v="358.2"/>
  </r>
  <r>
    <s v="ORD-1810"/>
    <x v="810"/>
    <x v="810"/>
    <x v="3"/>
    <s v="CUST-6273"/>
    <s v="Customer 241"/>
    <x v="0"/>
    <s v="United States"/>
    <s v="New York"/>
    <x v="5"/>
    <n v="97299"/>
    <x v="3"/>
    <s v="PROD-6313"/>
    <x v="2"/>
    <x v="7"/>
    <x v="254"/>
    <x v="809"/>
    <n v="10"/>
    <n v="0.71"/>
    <n v="1113.51"/>
  </r>
  <r>
    <s v="ORD-1811"/>
    <x v="811"/>
    <x v="811"/>
    <x v="1"/>
    <s v="CUST-4777"/>
    <s v="Customer 394"/>
    <x v="0"/>
    <s v="United States"/>
    <s v="Chicago"/>
    <x v="0"/>
    <n v="99172"/>
    <x v="2"/>
    <s v="PROD-3841"/>
    <x v="1"/>
    <x v="2"/>
    <x v="291"/>
    <x v="810"/>
    <n v="2"/>
    <n v="0.84"/>
    <n v="226.3"/>
  </r>
  <r>
    <s v="ORD-1812"/>
    <x v="812"/>
    <x v="812"/>
    <x v="0"/>
    <s v="CUST-5622"/>
    <s v="Customer 44"/>
    <x v="2"/>
    <s v="United States"/>
    <s v="Los Angeles"/>
    <x v="4"/>
    <n v="97394"/>
    <x v="3"/>
    <s v="PROD-9735"/>
    <x v="1"/>
    <x v="2"/>
    <x v="275"/>
    <x v="811"/>
    <n v="3"/>
    <n v="0.39"/>
    <n v="381.25"/>
  </r>
  <r>
    <s v="ORD-1813"/>
    <x v="813"/>
    <x v="813"/>
    <x v="3"/>
    <s v="CUST-7707"/>
    <s v="Customer 491"/>
    <x v="0"/>
    <s v="United States"/>
    <s v="Los Angeles"/>
    <x v="6"/>
    <n v="11019"/>
    <x v="3"/>
    <s v="PROD-5669"/>
    <x v="0"/>
    <x v="1"/>
    <x v="176"/>
    <x v="812"/>
    <n v="12"/>
    <n v="0.64"/>
    <n v="-411.1"/>
  </r>
  <r>
    <s v="ORD-1814"/>
    <x v="814"/>
    <x v="814"/>
    <x v="0"/>
    <s v="CUST-6690"/>
    <s v="Customer 433"/>
    <x v="0"/>
    <s v="United States"/>
    <s v="Dallas"/>
    <x v="7"/>
    <n v="71643"/>
    <x v="0"/>
    <s v="PROD-7747"/>
    <x v="1"/>
    <x v="4"/>
    <x v="48"/>
    <x v="813"/>
    <n v="11"/>
    <n v="0.86"/>
    <n v="187.79"/>
  </r>
  <r>
    <s v="ORD-1815"/>
    <x v="815"/>
    <x v="815"/>
    <x v="3"/>
    <s v="CUST-7620"/>
    <s v="Customer 89"/>
    <x v="1"/>
    <s v="United States"/>
    <s v="Miami"/>
    <x v="0"/>
    <n v="70005"/>
    <x v="1"/>
    <s v="PROD-3181"/>
    <x v="1"/>
    <x v="10"/>
    <x v="258"/>
    <x v="814"/>
    <n v="14"/>
    <n v="0.42"/>
    <n v="593.54999999999995"/>
  </r>
  <r>
    <s v="ORD-1816"/>
    <x v="816"/>
    <x v="816"/>
    <x v="2"/>
    <s v="CUST-3976"/>
    <s v="Customer 287"/>
    <x v="0"/>
    <s v="United States"/>
    <s v="Dallas"/>
    <x v="3"/>
    <n v="18953"/>
    <x v="0"/>
    <s v="PROD-1822"/>
    <x v="2"/>
    <x v="5"/>
    <x v="441"/>
    <x v="815"/>
    <n v="5"/>
    <n v="0.57999999999999996"/>
    <n v="-295.66000000000003"/>
  </r>
  <r>
    <s v="ORD-1817"/>
    <x v="817"/>
    <x v="817"/>
    <x v="1"/>
    <s v="CUST-4740"/>
    <s v="Customer 2"/>
    <x v="0"/>
    <s v="United States"/>
    <s v="Los Angeles"/>
    <x v="4"/>
    <n v="13134"/>
    <x v="2"/>
    <s v="PROD-7321"/>
    <x v="1"/>
    <x v="10"/>
    <x v="346"/>
    <x v="816"/>
    <n v="13"/>
    <n v="0.41"/>
    <n v="-265.33999999999997"/>
  </r>
  <r>
    <s v="ORD-1818"/>
    <x v="818"/>
    <x v="818"/>
    <x v="0"/>
    <s v="CUST-5177"/>
    <s v="Customer 7"/>
    <x v="0"/>
    <s v="United States"/>
    <s v="Los Angeles"/>
    <x v="0"/>
    <n v="80215"/>
    <x v="1"/>
    <s v="PROD-9035"/>
    <x v="1"/>
    <x v="3"/>
    <x v="44"/>
    <x v="817"/>
    <n v="6"/>
    <n v="0.26"/>
    <n v="486"/>
  </r>
  <r>
    <s v="ORD-1819"/>
    <x v="819"/>
    <x v="819"/>
    <x v="3"/>
    <s v="CUST-8350"/>
    <s v="Customer 494"/>
    <x v="1"/>
    <s v="United States"/>
    <s v="Phoenix"/>
    <x v="5"/>
    <n v="14670"/>
    <x v="3"/>
    <s v="PROD-7101"/>
    <x v="0"/>
    <x v="1"/>
    <x v="377"/>
    <x v="818"/>
    <n v="10"/>
    <n v="0.56000000000000005"/>
    <n v="720.18"/>
  </r>
  <r>
    <s v="ORD-1820"/>
    <x v="820"/>
    <x v="820"/>
    <x v="2"/>
    <s v="CUST-8208"/>
    <s v="Customer 356"/>
    <x v="0"/>
    <s v="United States"/>
    <s v="New York"/>
    <x v="0"/>
    <n v="98742"/>
    <x v="0"/>
    <s v="PROD-8948"/>
    <x v="2"/>
    <x v="6"/>
    <x v="398"/>
    <x v="819"/>
    <n v="9"/>
    <n v="0.24"/>
    <n v="199.6"/>
  </r>
  <r>
    <s v="ORD-1821"/>
    <x v="821"/>
    <x v="821"/>
    <x v="3"/>
    <s v="CUST-4665"/>
    <s v="Customer 56"/>
    <x v="2"/>
    <s v="United States"/>
    <s v="Seattle"/>
    <x v="4"/>
    <n v="13414"/>
    <x v="0"/>
    <s v="PROD-5699"/>
    <x v="1"/>
    <x v="10"/>
    <x v="442"/>
    <x v="820"/>
    <n v="13"/>
    <n v="0.34"/>
    <n v="140.72999999999999"/>
  </r>
  <r>
    <s v="ORD-1822"/>
    <x v="822"/>
    <x v="822"/>
    <x v="0"/>
    <s v="CUST-4012"/>
    <s v="Customer 176"/>
    <x v="2"/>
    <s v="United States"/>
    <s v="Miami"/>
    <x v="6"/>
    <n v="30045"/>
    <x v="3"/>
    <s v="PROD-9496"/>
    <x v="1"/>
    <x v="2"/>
    <x v="443"/>
    <x v="821"/>
    <n v="5"/>
    <n v="0.48"/>
    <n v="-525.1"/>
  </r>
  <r>
    <s v="ORD-1823"/>
    <x v="823"/>
    <x v="823"/>
    <x v="1"/>
    <s v="CUST-6370"/>
    <s v="Customer 158"/>
    <x v="0"/>
    <s v="United States"/>
    <s v="Los Angeles"/>
    <x v="6"/>
    <n v="81263"/>
    <x v="2"/>
    <s v="PROD-3382"/>
    <x v="1"/>
    <x v="2"/>
    <x v="444"/>
    <x v="822"/>
    <n v="3"/>
    <n v="0.12"/>
    <n v="-158.16"/>
  </r>
  <r>
    <s v="ORD-1824"/>
    <x v="824"/>
    <x v="824"/>
    <x v="1"/>
    <s v="CUST-6421"/>
    <s v="Customer 22"/>
    <x v="0"/>
    <s v="United States"/>
    <s v="Phoenix"/>
    <x v="5"/>
    <n v="33900"/>
    <x v="3"/>
    <s v="PROD-9848"/>
    <x v="1"/>
    <x v="10"/>
    <x v="93"/>
    <x v="823"/>
    <n v="6"/>
    <n v="0.75"/>
    <n v="-421.55"/>
  </r>
  <r>
    <s v="ORD-1825"/>
    <x v="825"/>
    <x v="825"/>
    <x v="1"/>
    <s v="CUST-5976"/>
    <s v="Customer 450"/>
    <x v="1"/>
    <s v="United States"/>
    <s v="Denver"/>
    <x v="2"/>
    <n v="96917"/>
    <x v="2"/>
    <s v="PROD-1025"/>
    <x v="2"/>
    <x v="5"/>
    <x v="54"/>
    <x v="824"/>
    <n v="12"/>
    <n v="0.34"/>
    <n v="296.26"/>
  </r>
  <r>
    <s v="ORD-1826"/>
    <x v="826"/>
    <x v="826"/>
    <x v="1"/>
    <s v="CUST-2954"/>
    <s v="Customer 265"/>
    <x v="1"/>
    <s v="United States"/>
    <s v="Phoenix"/>
    <x v="3"/>
    <n v="90454"/>
    <x v="3"/>
    <s v="PROD-5281"/>
    <x v="2"/>
    <x v="6"/>
    <x v="139"/>
    <x v="825"/>
    <n v="8"/>
    <n v="0.74"/>
    <n v="1681.59"/>
  </r>
  <r>
    <s v="ORD-1827"/>
    <x v="827"/>
    <x v="827"/>
    <x v="3"/>
    <s v="CUST-4998"/>
    <s v="Customer 426"/>
    <x v="0"/>
    <s v="United States"/>
    <s v="Dallas"/>
    <x v="2"/>
    <n v="31727"/>
    <x v="0"/>
    <s v="PROD-6224"/>
    <x v="0"/>
    <x v="1"/>
    <x v="445"/>
    <x v="826"/>
    <n v="11"/>
    <n v="0.55000000000000004"/>
    <n v="633.69000000000005"/>
  </r>
  <r>
    <s v="ORD-1828"/>
    <x v="828"/>
    <x v="828"/>
    <x v="3"/>
    <s v="CUST-1183"/>
    <s v="Customer 53"/>
    <x v="1"/>
    <s v="United States"/>
    <s v="Seattle"/>
    <x v="4"/>
    <n v="78164"/>
    <x v="1"/>
    <s v="PROD-7494"/>
    <x v="0"/>
    <x v="9"/>
    <x v="246"/>
    <x v="827"/>
    <n v="10"/>
    <n v="0.46"/>
    <n v="272.13"/>
  </r>
  <r>
    <s v="ORD-1829"/>
    <x v="829"/>
    <x v="829"/>
    <x v="2"/>
    <s v="CUST-1385"/>
    <s v="Customer 170"/>
    <x v="0"/>
    <s v="United States"/>
    <s v="Miami"/>
    <x v="0"/>
    <n v="24298"/>
    <x v="0"/>
    <s v="PROD-9600"/>
    <x v="2"/>
    <x v="11"/>
    <x v="446"/>
    <x v="828"/>
    <n v="7"/>
    <n v="0.65"/>
    <n v="119.11"/>
  </r>
  <r>
    <s v="ORD-1830"/>
    <x v="830"/>
    <x v="830"/>
    <x v="1"/>
    <s v="CUST-8322"/>
    <s v="Customer 69"/>
    <x v="1"/>
    <s v="United States"/>
    <s v="Chicago"/>
    <x v="3"/>
    <n v="28567"/>
    <x v="1"/>
    <s v="PROD-2685"/>
    <x v="1"/>
    <x v="2"/>
    <x v="11"/>
    <x v="829"/>
    <n v="4"/>
    <n v="0.55000000000000004"/>
    <n v="603.74"/>
  </r>
  <r>
    <s v="ORD-1831"/>
    <x v="831"/>
    <x v="831"/>
    <x v="2"/>
    <s v="CUST-4085"/>
    <s v="Customer 323"/>
    <x v="2"/>
    <s v="United States"/>
    <s v="Denver"/>
    <x v="7"/>
    <n v="21148"/>
    <x v="1"/>
    <s v="PROD-2543"/>
    <x v="1"/>
    <x v="4"/>
    <x v="53"/>
    <x v="830"/>
    <n v="1"/>
    <n v="0.05"/>
    <n v="605.82000000000005"/>
  </r>
  <r>
    <s v="ORD-1832"/>
    <x v="832"/>
    <x v="832"/>
    <x v="0"/>
    <s v="CUST-3645"/>
    <s v="Customer 237"/>
    <x v="0"/>
    <s v="United States"/>
    <s v="Phoenix"/>
    <x v="0"/>
    <n v="37832"/>
    <x v="0"/>
    <s v="PROD-2350"/>
    <x v="2"/>
    <x v="11"/>
    <x v="138"/>
    <x v="831"/>
    <n v="2"/>
    <n v="0.16"/>
    <n v="941.03"/>
  </r>
  <r>
    <s v="ORD-1833"/>
    <x v="833"/>
    <x v="833"/>
    <x v="1"/>
    <s v="CUST-6514"/>
    <s v="Customer 79"/>
    <x v="2"/>
    <s v="United States"/>
    <s v="Seattle"/>
    <x v="2"/>
    <n v="82864"/>
    <x v="2"/>
    <s v="PROD-6059"/>
    <x v="2"/>
    <x v="5"/>
    <x v="157"/>
    <x v="832"/>
    <n v="10"/>
    <n v="0.61"/>
    <n v="-289.64999999999998"/>
  </r>
  <r>
    <s v="ORD-1834"/>
    <x v="834"/>
    <x v="834"/>
    <x v="3"/>
    <s v="CUST-5044"/>
    <s v="Customer 34"/>
    <x v="0"/>
    <s v="United States"/>
    <s v="Miami"/>
    <x v="5"/>
    <n v="36525"/>
    <x v="2"/>
    <s v="PROD-2875"/>
    <x v="0"/>
    <x v="8"/>
    <x v="259"/>
    <x v="833"/>
    <n v="4"/>
    <n v="0.73"/>
    <n v="1120.7"/>
  </r>
  <r>
    <s v="ORD-1835"/>
    <x v="835"/>
    <x v="835"/>
    <x v="3"/>
    <s v="CUST-2762"/>
    <s v="Customer 213"/>
    <x v="0"/>
    <s v="United States"/>
    <s v="Dallas"/>
    <x v="2"/>
    <n v="73076"/>
    <x v="1"/>
    <s v="PROD-1625"/>
    <x v="0"/>
    <x v="8"/>
    <x v="325"/>
    <x v="834"/>
    <n v="4"/>
    <n v="0.64"/>
    <n v="724.81"/>
  </r>
  <r>
    <s v="ORD-1836"/>
    <x v="836"/>
    <x v="836"/>
    <x v="3"/>
    <s v="CUST-9377"/>
    <s v="Customer 125"/>
    <x v="1"/>
    <s v="United States"/>
    <s v="Chicago"/>
    <x v="8"/>
    <n v="97979"/>
    <x v="1"/>
    <s v="PROD-5326"/>
    <x v="2"/>
    <x v="11"/>
    <x v="447"/>
    <x v="835"/>
    <n v="12"/>
    <n v="0.62"/>
    <n v="1591.83"/>
  </r>
  <r>
    <s v="ORD-1837"/>
    <x v="837"/>
    <x v="837"/>
    <x v="0"/>
    <s v="CUST-4259"/>
    <s v="Customer 119"/>
    <x v="2"/>
    <s v="United States"/>
    <s v="New York"/>
    <x v="4"/>
    <n v="16763"/>
    <x v="2"/>
    <s v="PROD-5654"/>
    <x v="2"/>
    <x v="5"/>
    <x v="27"/>
    <x v="836"/>
    <n v="7"/>
    <n v="0.38"/>
    <n v="112.22"/>
  </r>
  <r>
    <s v="ORD-1838"/>
    <x v="838"/>
    <x v="838"/>
    <x v="1"/>
    <s v="CUST-8785"/>
    <s v="Customer 244"/>
    <x v="0"/>
    <s v="United States"/>
    <s v="Dallas"/>
    <x v="2"/>
    <n v="64310"/>
    <x v="0"/>
    <s v="PROD-6156"/>
    <x v="0"/>
    <x v="1"/>
    <x v="141"/>
    <x v="837"/>
    <n v="7"/>
    <n v="0.13"/>
    <n v="1036.81"/>
  </r>
  <r>
    <s v="ORD-1839"/>
    <x v="839"/>
    <x v="839"/>
    <x v="3"/>
    <s v="CUST-3975"/>
    <s v="Customer 35"/>
    <x v="0"/>
    <s v="United States"/>
    <s v="Chicago"/>
    <x v="5"/>
    <n v="25613"/>
    <x v="3"/>
    <s v="PROD-9149"/>
    <x v="2"/>
    <x v="6"/>
    <x v="26"/>
    <x v="838"/>
    <n v="7"/>
    <n v="0.13"/>
    <n v="436.43"/>
  </r>
  <r>
    <s v="ORD-1840"/>
    <x v="840"/>
    <x v="840"/>
    <x v="2"/>
    <s v="CUST-5834"/>
    <s v="Customer 87"/>
    <x v="0"/>
    <s v="United States"/>
    <s v="Seattle"/>
    <x v="2"/>
    <n v="60574"/>
    <x v="2"/>
    <s v="PROD-4570"/>
    <x v="0"/>
    <x v="1"/>
    <x v="342"/>
    <x v="839"/>
    <n v="13"/>
    <n v="0.24"/>
    <n v="593.51"/>
  </r>
  <r>
    <s v="ORD-1841"/>
    <x v="841"/>
    <x v="841"/>
    <x v="1"/>
    <s v="CUST-8158"/>
    <s v="Customer 136"/>
    <x v="0"/>
    <s v="United States"/>
    <s v="Miami"/>
    <x v="5"/>
    <n v="86575"/>
    <x v="2"/>
    <s v="PROD-9060"/>
    <x v="0"/>
    <x v="1"/>
    <x v="198"/>
    <x v="840"/>
    <n v="12"/>
    <n v="0.59"/>
    <n v="1782.43"/>
  </r>
  <r>
    <s v="ORD-1842"/>
    <x v="842"/>
    <x v="842"/>
    <x v="2"/>
    <s v="CUST-8256"/>
    <s v="Customer 299"/>
    <x v="1"/>
    <s v="United States"/>
    <s v="Miami"/>
    <x v="8"/>
    <n v="38934"/>
    <x v="1"/>
    <s v="PROD-5547"/>
    <x v="1"/>
    <x v="10"/>
    <x v="309"/>
    <x v="841"/>
    <n v="14"/>
    <n v="0.43"/>
    <n v="50.01"/>
  </r>
  <r>
    <s v="ORD-1843"/>
    <x v="843"/>
    <x v="843"/>
    <x v="1"/>
    <s v="CUST-9146"/>
    <s v="Customer 173"/>
    <x v="2"/>
    <s v="United States"/>
    <s v="Houston"/>
    <x v="1"/>
    <n v="50293"/>
    <x v="2"/>
    <s v="PROD-8959"/>
    <x v="2"/>
    <x v="6"/>
    <x v="448"/>
    <x v="842"/>
    <n v="8"/>
    <n v="7.0000000000000007E-2"/>
    <n v="1348.95"/>
  </r>
  <r>
    <s v="ORD-1844"/>
    <x v="844"/>
    <x v="844"/>
    <x v="1"/>
    <s v="CUST-6481"/>
    <s v="Customer 128"/>
    <x v="0"/>
    <s v="United States"/>
    <s v="Chicago"/>
    <x v="5"/>
    <n v="53839"/>
    <x v="1"/>
    <s v="PROD-1971"/>
    <x v="2"/>
    <x v="5"/>
    <x v="130"/>
    <x v="843"/>
    <n v="13"/>
    <n v="7.0000000000000007E-2"/>
    <n v="832.47"/>
  </r>
  <r>
    <s v="ORD-1845"/>
    <x v="845"/>
    <x v="845"/>
    <x v="2"/>
    <s v="CUST-3623"/>
    <s v="Customer 341"/>
    <x v="2"/>
    <s v="United States"/>
    <s v="Chicago"/>
    <x v="4"/>
    <n v="86097"/>
    <x v="1"/>
    <s v="PROD-5887"/>
    <x v="0"/>
    <x v="8"/>
    <x v="83"/>
    <x v="844"/>
    <n v="11"/>
    <n v="0.7"/>
    <n v="-134.6"/>
  </r>
  <r>
    <s v="ORD-1846"/>
    <x v="846"/>
    <x v="846"/>
    <x v="0"/>
    <s v="CUST-9204"/>
    <s v="Customer 52"/>
    <x v="1"/>
    <s v="United States"/>
    <s v="Los Angeles"/>
    <x v="5"/>
    <n v="30341"/>
    <x v="3"/>
    <s v="PROD-6426"/>
    <x v="0"/>
    <x v="9"/>
    <x v="4"/>
    <x v="845"/>
    <n v="8"/>
    <n v="0.7"/>
    <n v="299.95999999999998"/>
  </r>
  <r>
    <s v="ORD-1847"/>
    <x v="847"/>
    <x v="847"/>
    <x v="1"/>
    <s v="CUST-7187"/>
    <s v="Customer 399"/>
    <x v="0"/>
    <s v="United States"/>
    <s v="Denver"/>
    <x v="7"/>
    <n v="44231"/>
    <x v="0"/>
    <s v="PROD-8721"/>
    <x v="0"/>
    <x v="8"/>
    <x v="377"/>
    <x v="846"/>
    <n v="5"/>
    <n v="0.09"/>
    <n v="-311.58999999999997"/>
  </r>
  <r>
    <s v="ORD-1848"/>
    <x v="848"/>
    <x v="848"/>
    <x v="1"/>
    <s v="CUST-6462"/>
    <s v="Customer 125"/>
    <x v="0"/>
    <s v="United States"/>
    <s v="Seattle"/>
    <x v="0"/>
    <n v="92638"/>
    <x v="3"/>
    <s v="PROD-5614"/>
    <x v="2"/>
    <x v="11"/>
    <x v="449"/>
    <x v="847"/>
    <n v="3"/>
    <n v="0.57999999999999996"/>
    <n v="278.38"/>
  </r>
  <r>
    <s v="ORD-1849"/>
    <x v="849"/>
    <x v="849"/>
    <x v="2"/>
    <s v="CUST-2917"/>
    <s v="Customer 380"/>
    <x v="1"/>
    <s v="United States"/>
    <s v="Dallas"/>
    <x v="8"/>
    <n v="57840"/>
    <x v="2"/>
    <s v="PROD-5373"/>
    <x v="0"/>
    <x v="0"/>
    <x v="209"/>
    <x v="848"/>
    <n v="10"/>
    <n v="0.69"/>
    <n v="222.53"/>
  </r>
  <r>
    <s v="ORD-1850"/>
    <x v="850"/>
    <x v="850"/>
    <x v="0"/>
    <s v="CUST-9902"/>
    <s v="Customer 9"/>
    <x v="1"/>
    <s v="United States"/>
    <s v="Chicago"/>
    <x v="3"/>
    <n v="77396"/>
    <x v="3"/>
    <s v="PROD-5786"/>
    <x v="2"/>
    <x v="5"/>
    <x v="245"/>
    <x v="849"/>
    <n v="14"/>
    <n v="0.28000000000000003"/>
    <n v="-3.15"/>
  </r>
  <r>
    <s v="ORD-1851"/>
    <x v="851"/>
    <x v="851"/>
    <x v="1"/>
    <s v="CUST-6529"/>
    <s v="Customer 100"/>
    <x v="0"/>
    <s v="United States"/>
    <s v="Chicago"/>
    <x v="8"/>
    <n v="71308"/>
    <x v="0"/>
    <s v="PROD-6116"/>
    <x v="2"/>
    <x v="5"/>
    <x v="421"/>
    <x v="850"/>
    <n v="6"/>
    <n v="0.31"/>
    <n v="104.98"/>
  </r>
  <r>
    <s v="ORD-1852"/>
    <x v="852"/>
    <x v="852"/>
    <x v="2"/>
    <s v="CUST-5306"/>
    <s v="Customer 152"/>
    <x v="2"/>
    <s v="United States"/>
    <s v="Chicago"/>
    <x v="1"/>
    <n v="43203"/>
    <x v="2"/>
    <s v="PROD-3793"/>
    <x v="0"/>
    <x v="1"/>
    <x v="324"/>
    <x v="851"/>
    <n v="3"/>
    <n v="0.51"/>
    <n v="902.54"/>
  </r>
  <r>
    <s v="ORD-1853"/>
    <x v="853"/>
    <x v="853"/>
    <x v="1"/>
    <s v="CUST-4390"/>
    <s v="Customer 93"/>
    <x v="2"/>
    <s v="United States"/>
    <s v="Houston"/>
    <x v="0"/>
    <n v="61329"/>
    <x v="1"/>
    <s v="PROD-3456"/>
    <x v="0"/>
    <x v="1"/>
    <x v="409"/>
    <x v="852"/>
    <n v="7"/>
    <n v="0.51"/>
    <n v="851.65"/>
  </r>
  <r>
    <s v="ORD-1854"/>
    <x v="854"/>
    <x v="854"/>
    <x v="2"/>
    <s v="CUST-1497"/>
    <s v="Customer 498"/>
    <x v="2"/>
    <s v="United States"/>
    <s v="New York"/>
    <x v="1"/>
    <n v="92595"/>
    <x v="0"/>
    <s v="PROD-2310"/>
    <x v="2"/>
    <x v="6"/>
    <x v="450"/>
    <x v="853"/>
    <n v="5"/>
    <n v="0.78"/>
    <n v="-185.46"/>
  </r>
  <r>
    <s v="ORD-1855"/>
    <x v="855"/>
    <x v="855"/>
    <x v="0"/>
    <s v="CUST-8163"/>
    <s v="Customer 121"/>
    <x v="2"/>
    <s v="United States"/>
    <s v="Seattle"/>
    <x v="0"/>
    <n v="24818"/>
    <x v="3"/>
    <s v="PROD-4772"/>
    <x v="1"/>
    <x v="3"/>
    <x v="451"/>
    <x v="854"/>
    <n v="4"/>
    <n v="7.0000000000000007E-2"/>
    <n v="332.51"/>
  </r>
  <r>
    <s v="ORD-1856"/>
    <x v="856"/>
    <x v="856"/>
    <x v="1"/>
    <s v="CUST-5370"/>
    <s v="Customer 14"/>
    <x v="0"/>
    <s v="United States"/>
    <s v="Phoenix"/>
    <x v="2"/>
    <n v="74681"/>
    <x v="0"/>
    <s v="PROD-7948"/>
    <x v="0"/>
    <x v="0"/>
    <x v="364"/>
    <x v="855"/>
    <n v="2"/>
    <n v="0.46"/>
    <n v="-760.07"/>
  </r>
  <r>
    <s v="ORD-1857"/>
    <x v="857"/>
    <x v="857"/>
    <x v="3"/>
    <s v="CUST-1738"/>
    <s v="Customer 332"/>
    <x v="2"/>
    <s v="United States"/>
    <s v="Chicago"/>
    <x v="7"/>
    <n v="66621"/>
    <x v="0"/>
    <s v="PROD-3927"/>
    <x v="1"/>
    <x v="3"/>
    <x v="304"/>
    <x v="856"/>
    <n v="10"/>
    <n v="0.26"/>
    <n v="437.28"/>
  </r>
  <r>
    <s v="ORD-1858"/>
    <x v="858"/>
    <x v="858"/>
    <x v="3"/>
    <s v="CUST-4692"/>
    <s v="Customer 255"/>
    <x v="0"/>
    <s v="United States"/>
    <s v="Dallas"/>
    <x v="8"/>
    <n v="52012"/>
    <x v="2"/>
    <s v="PROD-2238"/>
    <x v="0"/>
    <x v="9"/>
    <x v="95"/>
    <x v="857"/>
    <n v="12"/>
    <n v="0.85"/>
    <n v="270.54000000000002"/>
  </r>
  <r>
    <s v="ORD-1859"/>
    <x v="859"/>
    <x v="859"/>
    <x v="3"/>
    <s v="CUST-6096"/>
    <s v="Customer 373"/>
    <x v="1"/>
    <s v="United States"/>
    <s v="Seattle"/>
    <x v="5"/>
    <n v="26395"/>
    <x v="3"/>
    <s v="PROD-4046"/>
    <x v="1"/>
    <x v="2"/>
    <x v="290"/>
    <x v="858"/>
    <n v="5"/>
    <n v="0.47"/>
    <n v="-736.98"/>
  </r>
  <r>
    <s v="ORD-1860"/>
    <x v="860"/>
    <x v="860"/>
    <x v="0"/>
    <s v="CUST-1521"/>
    <s v="Customer 316"/>
    <x v="2"/>
    <s v="United States"/>
    <s v="Miami"/>
    <x v="7"/>
    <n v="54125"/>
    <x v="0"/>
    <s v="PROD-9494"/>
    <x v="0"/>
    <x v="0"/>
    <x v="189"/>
    <x v="859"/>
    <n v="13"/>
    <n v="0.08"/>
    <n v="3.47"/>
  </r>
  <r>
    <s v="ORD-1861"/>
    <x v="861"/>
    <x v="861"/>
    <x v="3"/>
    <s v="CUST-8335"/>
    <s v="Customer 335"/>
    <x v="2"/>
    <s v="United States"/>
    <s v="Seattle"/>
    <x v="2"/>
    <n v="85988"/>
    <x v="2"/>
    <s v="PROD-1069"/>
    <x v="1"/>
    <x v="3"/>
    <x v="109"/>
    <x v="860"/>
    <n v="2"/>
    <n v="0.08"/>
    <n v="942.23"/>
  </r>
  <r>
    <s v="ORD-1862"/>
    <x v="862"/>
    <x v="862"/>
    <x v="2"/>
    <s v="CUST-7156"/>
    <s v="Customer 415"/>
    <x v="0"/>
    <s v="United States"/>
    <s v="Houston"/>
    <x v="3"/>
    <n v="69404"/>
    <x v="0"/>
    <s v="PROD-3334"/>
    <x v="0"/>
    <x v="8"/>
    <x v="145"/>
    <x v="861"/>
    <n v="8"/>
    <n v="0.3"/>
    <n v="-153.30000000000001"/>
  </r>
  <r>
    <s v="ORD-1863"/>
    <x v="863"/>
    <x v="863"/>
    <x v="1"/>
    <s v="CUST-8635"/>
    <s v="Customer 208"/>
    <x v="1"/>
    <s v="United States"/>
    <s v="New York"/>
    <x v="8"/>
    <n v="57277"/>
    <x v="3"/>
    <s v="PROD-8097"/>
    <x v="1"/>
    <x v="3"/>
    <x v="101"/>
    <x v="862"/>
    <n v="4"/>
    <n v="0.69"/>
    <n v="385.49"/>
  </r>
  <r>
    <s v="ORD-1864"/>
    <x v="864"/>
    <x v="864"/>
    <x v="1"/>
    <s v="CUST-8441"/>
    <s v="Customer 269"/>
    <x v="1"/>
    <s v="United States"/>
    <s v="Phoenix"/>
    <x v="0"/>
    <n v="25938"/>
    <x v="1"/>
    <s v="PROD-9613"/>
    <x v="1"/>
    <x v="2"/>
    <x v="452"/>
    <x v="863"/>
    <n v="2"/>
    <n v="0.53"/>
    <n v="-12.95"/>
  </r>
  <r>
    <s v="ORD-1865"/>
    <x v="865"/>
    <x v="865"/>
    <x v="2"/>
    <s v="CUST-4216"/>
    <s v="Customer 388"/>
    <x v="0"/>
    <s v="United States"/>
    <s v="Los Angeles"/>
    <x v="0"/>
    <n v="23822"/>
    <x v="1"/>
    <s v="PROD-1978"/>
    <x v="2"/>
    <x v="5"/>
    <x v="341"/>
    <x v="864"/>
    <n v="14"/>
    <n v="0.52"/>
    <n v="755.24"/>
  </r>
  <r>
    <s v="ORD-1866"/>
    <x v="866"/>
    <x v="866"/>
    <x v="3"/>
    <s v="CUST-8198"/>
    <s v="Customer 226"/>
    <x v="2"/>
    <s v="United States"/>
    <s v="Dallas"/>
    <x v="6"/>
    <n v="64247"/>
    <x v="0"/>
    <s v="PROD-9510"/>
    <x v="2"/>
    <x v="7"/>
    <x v="402"/>
    <x v="865"/>
    <n v="2"/>
    <n v="0.45"/>
    <n v="366.09"/>
  </r>
  <r>
    <s v="ORD-1867"/>
    <x v="867"/>
    <x v="867"/>
    <x v="0"/>
    <s v="CUST-7886"/>
    <s v="Customer 142"/>
    <x v="1"/>
    <s v="United States"/>
    <s v="Miami"/>
    <x v="1"/>
    <n v="36267"/>
    <x v="0"/>
    <s v="PROD-9564"/>
    <x v="1"/>
    <x v="2"/>
    <x v="115"/>
    <x v="866"/>
    <n v="6"/>
    <n v="0.79"/>
    <n v="958.52"/>
  </r>
  <r>
    <s v="ORD-1868"/>
    <x v="868"/>
    <x v="868"/>
    <x v="1"/>
    <s v="CUST-6997"/>
    <s v="Customer 328"/>
    <x v="1"/>
    <s v="United States"/>
    <s v="Seattle"/>
    <x v="1"/>
    <n v="98661"/>
    <x v="2"/>
    <s v="PROD-2041"/>
    <x v="0"/>
    <x v="9"/>
    <x v="352"/>
    <x v="867"/>
    <n v="9"/>
    <n v="0.2"/>
    <n v="1269.93"/>
  </r>
  <r>
    <s v="ORD-1869"/>
    <x v="869"/>
    <x v="869"/>
    <x v="3"/>
    <s v="CUST-1414"/>
    <s v="Customer 486"/>
    <x v="2"/>
    <s v="United States"/>
    <s v="Los Angeles"/>
    <x v="6"/>
    <n v="70707"/>
    <x v="1"/>
    <s v="PROD-9395"/>
    <x v="2"/>
    <x v="5"/>
    <x v="27"/>
    <x v="868"/>
    <n v="9"/>
    <n v="0.28000000000000003"/>
    <n v="1583.67"/>
  </r>
  <r>
    <s v="ORD-1870"/>
    <x v="870"/>
    <x v="870"/>
    <x v="1"/>
    <s v="CUST-6774"/>
    <s v="Customer 193"/>
    <x v="2"/>
    <s v="United States"/>
    <s v="Houston"/>
    <x v="5"/>
    <n v="43137"/>
    <x v="3"/>
    <s v="PROD-2114"/>
    <x v="1"/>
    <x v="10"/>
    <x v="336"/>
    <x v="869"/>
    <n v="2"/>
    <n v="0.52"/>
    <n v="1492.96"/>
  </r>
  <r>
    <s v="ORD-1871"/>
    <x v="871"/>
    <x v="871"/>
    <x v="3"/>
    <s v="CUST-3768"/>
    <s v="Customer 13"/>
    <x v="1"/>
    <s v="United States"/>
    <s v="Denver"/>
    <x v="4"/>
    <n v="11890"/>
    <x v="3"/>
    <s v="PROD-1033"/>
    <x v="1"/>
    <x v="4"/>
    <x v="341"/>
    <x v="870"/>
    <n v="2"/>
    <n v="0.42"/>
    <n v="1882.65"/>
  </r>
  <r>
    <s v="ORD-1872"/>
    <x v="872"/>
    <x v="872"/>
    <x v="2"/>
    <s v="CUST-3672"/>
    <s v="Customer 469"/>
    <x v="2"/>
    <s v="United States"/>
    <s v="Los Angeles"/>
    <x v="2"/>
    <n v="86765"/>
    <x v="2"/>
    <s v="PROD-7717"/>
    <x v="2"/>
    <x v="11"/>
    <x v="195"/>
    <x v="871"/>
    <n v="6"/>
    <n v="0.65"/>
    <n v="-520.53"/>
  </r>
  <r>
    <s v="ORD-1873"/>
    <x v="873"/>
    <x v="873"/>
    <x v="3"/>
    <s v="CUST-1881"/>
    <s v="Customer 79"/>
    <x v="1"/>
    <s v="United States"/>
    <s v="Los Angeles"/>
    <x v="7"/>
    <n v="43371"/>
    <x v="0"/>
    <s v="PROD-3020"/>
    <x v="1"/>
    <x v="3"/>
    <x v="453"/>
    <x v="872"/>
    <n v="5"/>
    <n v="0.89"/>
    <n v="-262.29000000000002"/>
  </r>
  <r>
    <s v="ORD-1874"/>
    <x v="874"/>
    <x v="874"/>
    <x v="2"/>
    <s v="CUST-6826"/>
    <s v="Customer 445"/>
    <x v="2"/>
    <s v="United States"/>
    <s v="Dallas"/>
    <x v="5"/>
    <n v="60636"/>
    <x v="0"/>
    <s v="PROD-1084"/>
    <x v="2"/>
    <x v="5"/>
    <x v="212"/>
    <x v="873"/>
    <n v="1"/>
    <n v="0.32"/>
    <n v="665.4"/>
  </r>
  <r>
    <s v="ORD-1875"/>
    <x v="875"/>
    <x v="875"/>
    <x v="2"/>
    <s v="CUST-9221"/>
    <s v="Customer 411"/>
    <x v="0"/>
    <s v="United States"/>
    <s v="Dallas"/>
    <x v="8"/>
    <n v="12975"/>
    <x v="3"/>
    <s v="PROD-4561"/>
    <x v="0"/>
    <x v="1"/>
    <x v="454"/>
    <x v="874"/>
    <n v="5"/>
    <n v="0.78"/>
    <n v="226.89"/>
  </r>
  <r>
    <s v="ORD-1876"/>
    <x v="876"/>
    <x v="876"/>
    <x v="0"/>
    <s v="CUST-1525"/>
    <s v="Customer 398"/>
    <x v="1"/>
    <s v="United States"/>
    <s v="Los Angeles"/>
    <x v="2"/>
    <n v="36137"/>
    <x v="2"/>
    <s v="PROD-9287"/>
    <x v="2"/>
    <x v="5"/>
    <x v="435"/>
    <x v="875"/>
    <n v="11"/>
    <n v="0.12"/>
    <n v="1070.8599999999999"/>
  </r>
  <r>
    <s v="ORD-1877"/>
    <x v="877"/>
    <x v="877"/>
    <x v="2"/>
    <s v="CUST-7164"/>
    <s v="Customer 332"/>
    <x v="1"/>
    <s v="United States"/>
    <s v="Seattle"/>
    <x v="4"/>
    <n v="19394"/>
    <x v="2"/>
    <s v="PROD-1906"/>
    <x v="2"/>
    <x v="6"/>
    <x v="455"/>
    <x v="876"/>
    <n v="2"/>
    <n v="0.75"/>
    <n v="311.88"/>
  </r>
  <r>
    <s v="ORD-1878"/>
    <x v="878"/>
    <x v="878"/>
    <x v="3"/>
    <s v="CUST-2296"/>
    <s v="Customer 2"/>
    <x v="0"/>
    <s v="United States"/>
    <s v="Miami"/>
    <x v="5"/>
    <n v="86164"/>
    <x v="3"/>
    <s v="PROD-3855"/>
    <x v="2"/>
    <x v="5"/>
    <x v="124"/>
    <x v="877"/>
    <n v="12"/>
    <n v="0.36"/>
    <n v="253.61"/>
  </r>
  <r>
    <s v="ORD-1879"/>
    <x v="879"/>
    <x v="879"/>
    <x v="0"/>
    <s v="CUST-2356"/>
    <s v="Customer 476"/>
    <x v="1"/>
    <s v="United States"/>
    <s v="Houston"/>
    <x v="2"/>
    <n v="70969"/>
    <x v="2"/>
    <s v="PROD-1284"/>
    <x v="1"/>
    <x v="4"/>
    <x v="456"/>
    <x v="878"/>
    <n v="2"/>
    <n v="0.66"/>
    <n v="368.36"/>
  </r>
  <r>
    <s v="ORD-1880"/>
    <x v="880"/>
    <x v="880"/>
    <x v="2"/>
    <s v="CUST-3731"/>
    <s v="Customer 497"/>
    <x v="0"/>
    <s v="United States"/>
    <s v="New York"/>
    <x v="0"/>
    <n v="96647"/>
    <x v="0"/>
    <s v="PROD-2347"/>
    <x v="2"/>
    <x v="11"/>
    <x v="319"/>
    <x v="879"/>
    <n v="3"/>
    <n v="0.4"/>
    <n v="-225.75"/>
  </r>
  <r>
    <s v="ORD-1881"/>
    <x v="881"/>
    <x v="881"/>
    <x v="0"/>
    <s v="CUST-6069"/>
    <s v="Customer 331"/>
    <x v="2"/>
    <s v="United States"/>
    <s v="Seattle"/>
    <x v="2"/>
    <n v="25136"/>
    <x v="2"/>
    <s v="PROD-5075"/>
    <x v="1"/>
    <x v="2"/>
    <x v="330"/>
    <x v="880"/>
    <n v="3"/>
    <n v="0.34"/>
    <n v="54.77"/>
  </r>
  <r>
    <s v="ORD-1882"/>
    <x v="882"/>
    <x v="882"/>
    <x v="1"/>
    <s v="CUST-1677"/>
    <s v="Customer 77"/>
    <x v="2"/>
    <s v="United States"/>
    <s v="Denver"/>
    <x v="7"/>
    <n v="16570"/>
    <x v="0"/>
    <s v="PROD-5334"/>
    <x v="2"/>
    <x v="7"/>
    <x v="163"/>
    <x v="881"/>
    <n v="11"/>
    <n v="0.49"/>
    <n v="697.86"/>
  </r>
  <r>
    <s v="ORD-1883"/>
    <x v="883"/>
    <x v="883"/>
    <x v="0"/>
    <s v="CUST-2700"/>
    <s v="Customer 450"/>
    <x v="2"/>
    <s v="United States"/>
    <s v="Los Angeles"/>
    <x v="0"/>
    <n v="15352"/>
    <x v="0"/>
    <s v="PROD-9972"/>
    <x v="1"/>
    <x v="3"/>
    <x v="457"/>
    <x v="882"/>
    <n v="14"/>
    <n v="0.11"/>
    <n v="166.81"/>
  </r>
  <r>
    <s v="ORD-1884"/>
    <x v="884"/>
    <x v="884"/>
    <x v="3"/>
    <s v="CUST-8894"/>
    <s v="Customer 302"/>
    <x v="0"/>
    <s v="United States"/>
    <s v="Los Angeles"/>
    <x v="2"/>
    <n v="81281"/>
    <x v="2"/>
    <s v="PROD-7217"/>
    <x v="2"/>
    <x v="6"/>
    <x v="17"/>
    <x v="883"/>
    <n v="6"/>
    <n v="0.08"/>
    <n v="684.8"/>
  </r>
  <r>
    <s v="ORD-1885"/>
    <x v="885"/>
    <x v="885"/>
    <x v="1"/>
    <s v="CUST-6654"/>
    <s v="Customer 98"/>
    <x v="1"/>
    <s v="United States"/>
    <s v="Seattle"/>
    <x v="0"/>
    <n v="52812"/>
    <x v="2"/>
    <s v="PROD-2408"/>
    <x v="2"/>
    <x v="11"/>
    <x v="178"/>
    <x v="884"/>
    <n v="5"/>
    <n v="0.6"/>
    <n v="13.4"/>
  </r>
  <r>
    <s v="ORD-1886"/>
    <x v="886"/>
    <x v="886"/>
    <x v="3"/>
    <s v="CUST-5557"/>
    <s v="Customer 466"/>
    <x v="2"/>
    <s v="United States"/>
    <s v="Houston"/>
    <x v="6"/>
    <n v="42222"/>
    <x v="0"/>
    <s v="PROD-3441"/>
    <x v="2"/>
    <x v="6"/>
    <x v="58"/>
    <x v="885"/>
    <n v="2"/>
    <n v="0.71"/>
    <n v="724.34"/>
  </r>
  <r>
    <s v="ORD-1887"/>
    <x v="887"/>
    <x v="887"/>
    <x v="1"/>
    <s v="CUST-9210"/>
    <s v="Customer 10"/>
    <x v="2"/>
    <s v="United States"/>
    <s v="Seattle"/>
    <x v="7"/>
    <n v="30834"/>
    <x v="1"/>
    <s v="PROD-3475"/>
    <x v="1"/>
    <x v="10"/>
    <x v="458"/>
    <x v="886"/>
    <n v="5"/>
    <n v="0.55000000000000004"/>
    <n v="-1.98"/>
  </r>
  <r>
    <s v="ORD-1888"/>
    <x v="888"/>
    <x v="888"/>
    <x v="1"/>
    <s v="CUST-8169"/>
    <s v="Customer 32"/>
    <x v="1"/>
    <s v="United States"/>
    <s v="New York"/>
    <x v="2"/>
    <n v="88870"/>
    <x v="2"/>
    <s v="PROD-3603"/>
    <x v="0"/>
    <x v="1"/>
    <x v="350"/>
    <x v="887"/>
    <n v="2"/>
    <n v="0.77"/>
    <n v="865.75"/>
  </r>
  <r>
    <s v="ORD-1889"/>
    <x v="889"/>
    <x v="889"/>
    <x v="3"/>
    <s v="CUST-9953"/>
    <s v="Customer 378"/>
    <x v="2"/>
    <s v="United States"/>
    <s v="Phoenix"/>
    <x v="5"/>
    <n v="26318"/>
    <x v="0"/>
    <s v="PROD-5965"/>
    <x v="0"/>
    <x v="9"/>
    <x v="157"/>
    <x v="888"/>
    <n v="11"/>
    <n v="0.66"/>
    <n v="103.12"/>
  </r>
  <r>
    <s v="ORD-1890"/>
    <x v="890"/>
    <x v="890"/>
    <x v="1"/>
    <s v="CUST-9097"/>
    <s v="Customer 483"/>
    <x v="2"/>
    <s v="United States"/>
    <s v="Miami"/>
    <x v="6"/>
    <n v="92732"/>
    <x v="0"/>
    <s v="PROD-1731"/>
    <x v="1"/>
    <x v="2"/>
    <x v="459"/>
    <x v="889"/>
    <n v="13"/>
    <n v="0.19"/>
    <n v="118.06"/>
  </r>
  <r>
    <s v="ORD-1891"/>
    <x v="891"/>
    <x v="891"/>
    <x v="0"/>
    <s v="CUST-4951"/>
    <s v="Customer 442"/>
    <x v="1"/>
    <s v="United States"/>
    <s v="Dallas"/>
    <x v="2"/>
    <n v="79285"/>
    <x v="2"/>
    <s v="PROD-3188"/>
    <x v="2"/>
    <x v="7"/>
    <x v="411"/>
    <x v="890"/>
    <n v="4"/>
    <n v="0.79"/>
    <n v="502.7"/>
  </r>
  <r>
    <s v="ORD-1892"/>
    <x v="892"/>
    <x v="892"/>
    <x v="0"/>
    <s v="CUST-1981"/>
    <s v="Customer 411"/>
    <x v="1"/>
    <s v="United States"/>
    <s v="Houston"/>
    <x v="4"/>
    <n v="36567"/>
    <x v="2"/>
    <s v="PROD-1748"/>
    <x v="2"/>
    <x v="6"/>
    <x v="200"/>
    <x v="891"/>
    <n v="4"/>
    <n v="0.83"/>
    <n v="-163.16999999999999"/>
  </r>
  <r>
    <s v="ORD-1893"/>
    <x v="893"/>
    <x v="893"/>
    <x v="3"/>
    <s v="CUST-5248"/>
    <s v="Customer 430"/>
    <x v="0"/>
    <s v="United States"/>
    <s v="Seattle"/>
    <x v="5"/>
    <n v="71463"/>
    <x v="0"/>
    <s v="PROD-4782"/>
    <x v="1"/>
    <x v="10"/>
    <x v="439"/>
    <x v="892"/>
    <n v="4"/>
    <n v="0.47"/>
    <n v="560.07000000000005"/>
  </r>
  <r>
    <s v="ORD-1894"/>
    <x v="894"/>
    <x v="894"/>
    <x v="2"/>
    <s v="CUST-3850"/>
    <s v="Customer 271"/>
    <x v="0"/>
    <s v="United States"/>
    <s v="New York"/>
    <x v="0"/>
    <n v="22800"/>
    <x v="0"/>
    <s v="PROD-4250"/>
    <x v="1"/>
    <x v="2"/>
    <x v="248"/>
    <x v="893"/>
    <n v="14"/>
    <n v="0.87"/>
    <n v="1925.1"/>
  </r>
  <r>
    <s v="ORD-1895"/>
    <x v="895"/>
    <x v="895"/>
    <x v="0"/>
    <s v="CUST-8368"/>
    <s v="Customer 321"/>
    <x v="2"/>
    <s v="United States"/>
    <s v="Los Angeles"/>
    <x v="7"/>
    <n v="31227"/>
    <x v="0"/>
    <s v="PROD-9168"/>
    <x v="2"/>
    <x v="6"/>
    <x v="425"/>
    <x v="894"/>
    <n v="14"/>
    <n v="0.74"/>
    <n v="1202.69"/>
  </r>
  <r>
    <s v="ORD-1896"/>
    <x v="896"/>
    <x v="896"/>
    <x v="0"/>
    <s v="CUST-7328"/>
    <s v="Customer 404"/>
    <x v="2"/>
    <s v="United States"/>
    <s v="Los Angeles"/>
    <x v="4"/>
    <n v="70009"/>
    <x v="3"/>
    <s v="PROD-2536"/>
    <x v="0"/>
    <x v="8"/>
    <x v="460"/>
    <x v="895"/>
    <n v="13"/>
    <n v="0.28999999999999998"/>
    <n v="1460.83"/>
  </r>
  <r>
    <s v="ORD-1897"/>
    <x v="897"/>
    <x v="897"/>
    <x v="0"/>
    <s v="CUST-1612"/>
    <s v="Customer 193"/>
    <x v="2"/>
    <s v="United States"/>
    <s v="Houston"/>
    <x v="4"/>
    <n v="46305"/>
    <x v="1"/>
    <s v="PROD-2861"/>
    <x v="0"/>
    <x v="8"/>
    <x v="447"/>
    <x v="896"/>
    <n v="14"/>
    <n v="0.04"/>
    <n v="-324.47000000000003"/>
  </r>
  <r>
    <s v="ORD-1898"/>
    <x v="898"/>
    <x v="898"/>
    <x v="3"/>
    <s v="CUST-7905"/>
    <s v="Customer 323"/>
    <x v="0"/>
    <s v="United States"/>
    <s v="Phoenix"/>
    <x v="4"/>
    <n v="25833"/>
    <x v="3"/>
    <s v="PROD-6468"/>
    <x v="0"/>
    <x v="9"/>
    <x v="60"/>
    <x v="897"/>
    <n v="5"/>
    <n v="0.49"/>
    <n v="212.92"/>
  </r>
  <r>
    <s v="ORD-1899"/>
    <x v="899"/>
    <x v="899"/>
    <x v="1"/>
    <s v="CUST-5524"/>
    <s v="Customer 332"/>
    <x v="0"/>
    <s v="United States"/>
    <s v="Phoenix"/>
    <x v="7"/>
    <n v="73214"/>
    <x v="2"/>
    <s v="PROD-2797"/>
    <x v="0"/>
    <x v="8"/>
    <x v="461"/>
    <x v="898"/>
    <n v="5"/>
    <n v="0.71"/>
    <n v="1708.64"/>
  </r>
  <r>
    <s v="ORD-1900"/>
    <x v="900"/>
    <x v="900"/>
    <x v="0"/>
    <s v="CUST-5759"/>
    <s v="Customer 356"/>
    <x v="1"/>
    <s v="United States"/>
    <s v="Chicago"/>
    <x v="5"/>
    <n v="45329"/>
    <x v="1"/>
    <s v="PROD-9821"/>
    <x v="0"/>
    <x v="1"/>
    <x v="76"/>
    <x v="899"/>
    <n v="6"/>
    <n v="0.75"/>
    <n v="334.65"/>
  </r>
  <r>
    <s v="ORD-1901"/>
    <x v="901"/>
    <x v="901"/>
    <x v="2"/>
    <s v="CUST-3160"/>
    <s v="Customer 186"/>
    <x v="1"/>
    <s v="United States"/>
    <s v="Phoenix"/>
    <x v="4"/>
    <n v="52543"/>
    <x v="1"/>
    <s v="PROD-5237"/>
    <x v="2"/>
    <x v="11"/>
    <x v="386"/>
    <x v="900"/>
    <n v="1"/>
    <n v="0.61"/>
    <n v="2021.52"/>
  </r>
  <r>
    <s v="ORD-1902"/>
    <x v="902"/>
    <x v="902"/>
    <x v="0"/>
    <s v="CUST-4302"/>
    <s v="Customer 34"/>
    <x v="1"/>
    <s v="United States"/>
    <s v="Miami"/>
    <x v="7"/>
    <n v="63925"/>
    <x v="1"/>
    <s v="PROD-3416"/>
    <x v="0"/>
    <x v="8"/>
    <x v="281"/>
    <x v="901"/>
    <n v="8"/>
    <n v="0.68"/>
    <n v="454.92"/>
  </r>
  <r>
    <s v="ORD-1903"/>
    <x v="903"/>
    <x v="903"/>
    <x v="1"/>
    <s v="CUST-1609"/>
    <s v="Customer 110"/>
    <x v="2"/>
    <s v="United States"/>
    <s v="Los Angeles"/>
    <x v="4"/>
    <n v="13429"/>
    <x v="2"/>
    <s v="PROD-5414"/>
    <x v="2"/>
    <x v="11"/>
    <x v="124"/>
    <x v="902"/>
    <n v="12"/>
    <n v="0.3"/>
    <n v="-28.21"/>
  </r>
  <r>
    <s v="ORD-1904"/>
    <x v="904"/>
    <x v="904"/>
    <x v="3"/>
    <s v="CUST-5895"/>
    <s v="Customer 22"/>
    <x v="0"/>
    <s v="United States"/>
    <s v="New York"/>
    <x v="7"/>
    <n v="95820"/>
    <x v="3"/>
    <s v="PROD-4624"/>
    <x v="1"/>
    <x v="4"/>
    <x v="213"/>
    <x v="903"/>
    <n v="11"/>
    <n v="0.46"/>
    <n v="613.77"/>
  </r>
  <r>
    <s v="ORD-1905"/>
    <x v="905"/>
    <x v="905"/>
    <x v="3"/>
    <s v="CUST-9950"/>
    <s v="Customer 381"/>
    <x v="1"/>
    <s v="United States"/>
    <s v="Denver"/>
    <x v="1"/>
    <n v="81516"/>
    <x v="3"/>
    <s v="PROD-5901"/>
    <x v="1"/>
    <x v="10"/>
    <x v="146"/>
    <x v="904"/>
    <n v="8"/>
    <n v="0.06"/>
    <n v="-171.1"/>
  </r>
  <r>
    <s v="ORD-1906"/>
    <x v="906"/>
    <x v="906"/>
    <x v="2"/>
    <s v="CUST-9246"/>
    <s v="Customer 370"/>
    <x v="0"/>
    <s v="United States"/>
    <s v="Los Angeles"/>
    <x v="1"/>
    <n v="86932"/>
    <x v="1"/>
    <s v="PROD-5208"/>
    <x v="1"/>
    <x v="3"/>
    <x v="200"/>
    <x v="905"/>
    <n v="8"/>
    <n v="0.66"/>
    <n v="325.61"/>
  </r>
  <r>
    <s v="ORD-1907"/>
    <x v="907"/>
    <x v="907"/>
    <x v="3"/>
    <s v="CUST-8953"/>
    <s v="Customer 309"/>
    <x v="0"/>
    <s v="United States"/>
    <s v="Dallas"/>
    <x v="8"/>
    <n v="57172"/>
    <x v="2"/>
    <s v="PROD-9123"/>
    <x v="2"/>
    <x v="6"/>
    <x v="462"/>
    <x v="906"/>
    <n v="8"/>
    <n v="0.61"/>
    <n v="324.26"/>
  </r>
  <r>
    <s v="ORD-1908"/>
    <x v="908"/>
    <x v="908"/>
    <x v="3"/>
    <s v="CUST-2035"/>
    <s v="Customer 365"/>
    <x v="1"/>
    <s v="United States"/>
    <s v="Seattle"/>
    <x v="6"/>
    <n v="35545"/>
    <x v="2"/>
    <s v="PROD-6412"/>
    <x v="2"/>
    <x v="7"/>
    <x v="463"/>
    <x v="907"/>
    <n v="6"/>
    <n v="0.06"/>
    <n v="-511.23"/>
  </r>
  <r>
    <s v="ORD-1909"/>
    <x v="909"/>
    <x v="909"/>
    <x v="2"/>
    <s v="CUST-8510"/>
    <s v="Customer 461"/>
    <x v="2"/>
    <s v="United States"/>
    <s v="New York"/>
    <x v="0"/>
    <n v="28888"/>
    <x v="3"/>
    <s v="PROD-9332"/>
    <x v="2"/>
    <x v="6"/>
    <x v="50"/>
    <x v="908"/>
    <n v="10"/>
    <n v="0.51"/>
    <n v="-53.91"/>
  </r>
  <r>
    <s v="ORD-1910"/>
    <x v="910"/>
    <x v="910"/>
    <x v="1"/>
    <s v="CUST-2573"/>
    <s v="Customer 371"/>
    <x v="0"/>
    <s v="United States"/>
    <s v="Dallas"/>
    <x v="4"/>
    <n v="23615"/>
    <x v="2"/>
    <s v="PROD-9597"/>
    <x v="1"/>
    <x v="2"/>
    <x v="112"/>
    <x v="909"/>
    <n v="12"/>
    <n v="0.68"/>
    <n v="478.85"/>
  </r>
  <r>
    <s v="ORD-1911"/>
    <x v="911"/>
    <x v="911"/>
    <x v="2"/>
    <s v="CUST-2250"/>
    <s v="Customer 344"/>
    <x v="1"/>
    <s v="United States"/>
    <s v="Dallas"/>
    <x v="4"/>
    <n v="58181"/>
    <x v="1"/>
    <s v="PROD-7143"/>
    <x v="2"/>
    <x v="5"/>
    <x v="184"/>
    <x v="910"/>
    <n v="13"/>
    <n v="0.3"/>
    <n v="1338.47"/>
  </r>
  <r>
    <s v="ORD-1912"/>
    <x v="912"/>
    <x v="912"/>
    <x v="2"/>
    <s v="CUST-9342"/>
    <s v="Customer 7"/>
    <x v="1"/>
    <s v="United States"/>
    <s v="New York"/>
    <x v="3"/>
    <n v="40080"/>
    <x v="2"/>
    <s v="PROD-7097"/>
    <x v="2"/>
    <x v="5"/>
    <x v="152"/>
    <x v="911"/>
    <n v="13"/>
    <n v="0.54"/>
    <n v="489.65"/>
  </r>
  <r>
    <s v="ORD-1913"/>
    <x v="913"/>
    <x v="913"/>
    <x v="0"/>
    <s v="CUST-4902"/>
    <s v="Customer 345"/>
    <x v="0"/>
    <s v="United States"/>
    <s v="Los Angeles"/>
    <x v="0"/>
    <n v="89774"/>
    <x v="0"/>
    <s v="PROD-3483"/>
    <x v="0"/>
    <x v="8"/>
    <x v="105"/>
    <x v="912"/>
    <n v="14"/>
    <n v="0.26"/>
    <n v="-403.41"/>
  </r>
  <r>
    <s v="ORD-1914"/>
    <x v="914"/>
    <x v="914"/>
    <x v="2"/>
    <s v="CUST-2925"/>
    <s v="Customer 87"/>
    <x v="0"/>
    <s v="United States"/>
    <s v="Denver"/>
    <x v="0"/>
    <n v="52504"/>
    <x v="2"/>
    <s v="PROD-6674"/>
    <x v="2"/>
    <x v="7"/>
    <x v="393"/>
    <x v="913"/>
    <n v="12"/>
    <n v="0.52"/>
    <n v="983.82"/>
  </r>
  <r>
    <s v="ORD-1915"/>
    <x v="915"/>
    <x v="915"/>
    <x v="1"/>
    <s v="CUST-9368"/>
    <s v="Customer 246"/>
    <x v="0"/>
    <s v="United States"/>
    <s v="Chicago"/>
    <x v="7"/>
    <n v="61753"/>
    <x v="1"/>
    <s v="PROD-9751"/>
    <x v="0"/>
    <x v="0"/>
    <x v="111"/>
    <x v="914"/>
    <n v="13"/>
    <n v="0.02"/>
    <n v="330.72"/>
  </r>
  <r>
    <s v="ORD-1916"/>
    <x v="916"/>
    <x v="916"/>
    <x v="3"/>
    <s v="CUST-1118"/>
    <s v="Customer 337"/>
    <x v="2"/>
    <s v="United States"/>
    <s v="Dallas"/>
    <x v="0"/>
    <n v="14811"/>
    <x v="1"/>
    <s v="PROD-4737"/>
    <x v="2"/>
    <x v="11"/>
    <x v="122"/>
    <x v="915"/>
    <n v="8"/>
    <n v="0.14000000000000001"/>
    <n v="602.75"/>
  </r>
  <r>
    <s v="ORD-1917"/>
    <x v="917"/>
    <x v="917"/>
    <x v="3"/>
    <s v="CUST-5484"/>
    <s v="Customer 400"/>
    <x v="0"/>
    <s v="United States"/>
    <s v="Houston"/>
    <x v="5"/>
    <n v="56590"/>
    <x v="2"/>
    <s v="PROD-1148"/>
    <x v="0"/>
    <x v="9"/>
    <x v="457"/>
    <x v="916"/>
    <n v="9"/>
    <n v="0.05"/>
    <n v="643.73"/>
  </r>
  <r>
    <s v="ORD-1918"/>
    <x v="918"/>
    <x v="918"/>
    <x v="2"/>
    <s v="CUST-6157"/>
    <s v="Customer 263"/>
    <x v="2"/>
    <s v="United States"/>
    <s v="Houston"/>
    <x v="4"/>
    <n v="86124"/>
    <x v="2"/>
    <s v="PROD-1666"/>
    <x v="0"/>
    <x v="8"/>
    <x v="45"/>
    <x v="917"/>
    <n v="9"/>
    <n v="0.02"/>
    <n v="-497.68"/>
  </r>
  <r>
    <s v="ORD-1919"/>
    <x v="919"/>
    <x v="919"/>
    <x v="2"/>
    <s v="CUST-8270"/>
    <s v="Customer 34"/>
    <x v="2"/>
    <s v="United States"/>
    <s v="Los Angeles"/>
    <x v="1"/>
    <n v="94777"/>
    <x v="3"/>
    <s v="PROD-3406"/>
    <x v="2"/>
    <x v="5"/>
    <x v="205"/>
    <x v="918"/>
    <n v="3"/>
    <n v="0.77"/>
    <n v="1405.13"/>
  </r>
  <r>
    <s v="ORD-1920"/>
    <x v="920"/>
    <x v="920"/>
    <x v="1"/>
    <s v="CUST-6533"/>
    <s v="Customer 242"/>
    <x v="1"/>
    <s v="United States"/>
    <s v="Dallas"/>
    <x v="7"/>
    <n v="44843"/>
    <x v="1"/>
    <s v="PROD-8730"/>
    <x v="0"/>
    <x v="8"/>
    <x v="94"/>
    <x v="919"/>
    <n v="3"/>
    <n v="0.62"/>
    <n v="2042.36"/>
  </r>
  <r>
    <s v="ORD-1921"/>
    <x v="921"/>
    <x v="921"/>
    <x v="3"/>
    <s v="CUST-1021"/>
    <s v="Customer 457"/>
    <x v="2"/>
    <s v="United States"/>
    <s v="Chicago"/>
    <x v="2"/>
    <n v="51130"/>
    <x v="2"/>
    <s v="PROD-1872"/>
    <x v="2"/>
    <x v="11"/>
    <x v="325"/>
    <x v="920"/>
    <n v="3"/>
    <n v="0.01"/>
    <n v="1221.4000000000001"/>
  </r>
  <r>
    <s v="ORD-1922"/>
    <x v="922"/>
    <x v="922"/>
    <x v="2"/>
    <s v="CUST-7128"/>
    <s v="Customer 4"/>
    <x v="1"/>
    <s v="United States"/>
    <s v="Houston"/>
    <x v="2"/>
    <n v="67789"/>
    <x v="2"/>
    <s v="PROD-8263"/>
    <x v="1"/>
    <x v="2"/>
    <x v="60"/>
    <x v="921"/>
    <n v="13"/>
    <n v="0.1"/>
    <n v="-635.21"/>
  </r>
  <r>
    <s v="ORD-1923"/>
    <x v="923"/>
    <x v="923"/>
    <x v="0"/>
    <s v="CUST-7070"/>
    <s v="Customer 476"/>
    <x v="2"/>
    <s v="United States"/>
    <s v="Dallas"/>
    <x v="2"/>
    <n v="14723"/>
    <x v="0"/>
    <s v="PROD-7879"/>
    <x v="0"/>
    <x v="0"/>
    <x v="295"/>
    <x v="922"/>
    <n v="13"/>
    <n v="0.4"/>
    <n v="1008.88"/>
  </r>
  <r>
    <s v="ORD-1924"/>
    <x v="924"/>
    <x v="924"/>
    <x v="2"/>
    <s v="CUST-2497"/>
    <s v="Customer 308"/>
    <x v="1"/>
    <s v="United States"/>
    <s v="Dallas"/>
    <x v="3"/>
    <n v="42705"/>
    <x v="0"/>
    <s v="PROD-9217"/>
    <x v="0"/>
    <x v="8"/>
    <x v="422"/>
    <x v="923"/>
    <n v="2"/>
    <n v="0.26"/>
    <n v="1538.49"/>
  </r>
  <r>
    <s v="ORD-1925"/>
    <x v="925"/>
    <x v="925"/>
    <x v="3"/>
    <s v="CUST-1173"/>
    <s v="Customer 260"/>
    <x v="1"/>
    <s v="United States"/>
    <s v="Dallas"/>
    <x v="3"/>
    <n v="38638"/>
    <x v="0"/>
    <s v="PROD-4846"/>
    <x v="0"/>
    <x v="1"/>
    <x v="387"/>
    <x v="924"/>
    <n v="8"/>
    <n v="0.47"/>
    <n v="213.37"/>
  </r>
  <r>
    <s v="ORD-1926"/>
    <x v="926"/>
    <x v="926"/>
    <x v="2"/>
    <s v="CUST-9314"/>
    <s v="Customer 440"/>
    <x v="0"/>
    <s v="United States"/>
    <s v="Miami"/>
    <x v="2"/>
    <n v="94807"/>
    <x v="1"/>
    <s v="PROD-3408"/>
    <x v="1"/>
    <x v="10"/>
    <x v="381"/>
    <x v="925"/>
    <n v="10"/>
    <n v="0.1"/>
    <n v="1049.8800000000001"/>
  </r>
  <r>
    <s v="ORD-1927"/>
    <x v="927"/>
    <x v="927"/>
    <x v="0"/>
    <s v="CUST-2809"/>
    <s v="Customer 410"/>
    <x v="0"/>
    <s v="United States"/>
    <s v="Miami"/>
    <x v="5"/>
    <n v="21674"/>
    <x v="0"/>
    <s v="PROD-5355"/>
    <x v="0"/>
    <x v="0"/>
    <x v="124"/>
    <x v="926"/>
    <n v="5"/>
    <n v="0.25"/>
    <n v="1281.56"/>
  </r>
  <r>
    <s v="ORD-1928"/>
    <x v="928"/>
    <x v="928"/>
    <x v="2"/>
    <s v="CUST-6339"/>
    <s v="Customer 124"/>
    <x v="1"/>
    <s v="United States"/>
    <s v="Denver"/>
    <x v="8"/>
    <n v="79925"/>
    <x v="2"/>
    <s v="PROD-1927"/>
    <x v="2"/>
    <x v="5"/>
    <x v="464"/>
    <x v="927"/>
    <n v="4"/>
    <n v="0.36"/>
    <n v="1138.99"/>
  </r>
  <r>
    <s v="ORD-1929"/>
    <x v="929"/>
    <x v="929"/>
    <x v="0"/>
    <s v="CUST-7324"/>
    <s v="Customer 342"/>
    <x v="1"/>
    <s v="United States"/>
    <s v="Dallas"/>
    <x v="3"/>
    <n v="60992"/>
    <x v="2"/>
    <s v="PROD-4091"/>
    <x v="0"/>
    <x v="0"/>
    <x v="84"/>
    <x v="928"/>
    <n v="4"/>
    <n v="0.76"/>
    <n v="-69.22"/>
  </r>
  <r>
    <s v="ORD-1930"/>
    <x v="930"/>
    <x v="930"/>
    <x v="0"/>
    <s v="CUST-5023"/>
    <s v="Customer 242"/>
    <x v="0"/>
    <s v="United States"/>
    <s v="Seattle"/>
    <x v="3"/>
    <n v="98595"/>
    <x v="3"/>
    <s v="PROD-7377"/>
    <x v="2"/>
    <x v="11"/>
    <x v="166"/>
    <x v="929"/>
    <n v="12"/>
    <n v="0.34"/>
    <n v="-220.88"/>
  </r>
  <r>
    <s v="ORD-1931"/>
    <x v="931"/>
    <x v="931"/>
    <x v="2"/>
    <s v="CUST-4495"/>
    <s v="Customer 381"/>
    <x v="2"/>
    <s v="United States"/>
    <s v="Los Angeles"/>
    <x v="3"/>
    <n v="23264"/>
    <x v="2"/>
    <s v="PROD-2107"/>
    <x v="1"/>
    <x v="2"/>
    <x v="113"/>
    <x v="930"/>
    <n v="14"/>
    <n v="0.56000000000000005"/>
    <n v="-337.6"/>
  </r>
  <r>
    <s v="ORD-1932"/>
    <x v="932"/>
    <x v="932"/>
    <x v="0"/>
    <s v="CUST-1454"/>
    <s v="Customer 194"/>
    <x v="0"/>
    <s v="United States"/>
    <s v="Chicago"/>
    <x v="8"/>
    <n v="62287"/>
    <x v="3"/>
    <s v="PROD-5173"/>
    <x v="1"/>
    <x v="3"/>
    <x v="154"/>
    <x v="931"/>
    <n v="2"/>
    <n v="0.26"/>
    <n v="-98.84"/>
  </r>
  <r>
    <s v="ORD-1933"/>
    <x v="933"/>
    <x v="933"/>
    <x v="3"/>
    <s v="CUST-4054"/>
    <s v="Customer 442"/>
    <x v="1"/>
    <s v="United States"/>
    <s v="Dallas"/>
    <x v="0"/>
    <n v="40117"/>
    <x v="2"/>
    <s v="PROD-1496"/>
    <x v="1"/>
    <x v="2"/>
    <x v="409"/>
    <x v="932"/>
    <n v="9"/>
    <n v="0.1"/>
    <n v="2400.6999999999998"/>
  </r>
  <r>
    <s v="ORD-1934"/>
    <x v="934"/>
    <x v="934"/>
    <x v="0"/>
    <s v="CUST-4764"/>
    <s v="Customer 334"/>
    <x v="0"/>
    <s v="United States"/>
    <s v="Chicago"/>
    <x v="6"/>
    <n v="49799"/>
    <x v="2"/>
    <s v="PROD-3305"/>
    <x v="2"/>
    <x v="5"/>
    <x v="359"/>
    <x v="933"/>
    <n v="1"/>
    <n v="0.39"/>
    <n v="102.31"/>
  </r>
  <r>
    <s v="ORD-1935"/>
    <x v="935"/>
    <x v="935"/>
    <x v="2"/>
    <s v="CUST-2407"/>
    <s v="Customer 89"/>
    <x v="2"/>
    <s v="United States"/>
    <s v="Los Angeles"/>
    <x v="8"/>
    <n v="88692"/>
    <x v="1"/>
    <s v="PROD-4220"/>
    <x v="0"/>
    <x v="9"/>
    <x v="465"/>
    <x v="934"/>
    <n v="6"/>
    <n v="0.81"/>
    <n v="321.82"/>
  </r>
  <r>
    <s v="ORD-1936"/>
    <x v="936"/>
    <x v="936"/>
    <x v="1"/>
    <s v="CUST-4382"/>
    <s v="Customer 92"/>
    <x v="1"/>
    <s v="United States"/>
    <s v="Miami"/>
    <x v="1"/>
    <n v="28244"/>
    <x v="3"/>
    <s v="PROD-5220"/>
    <x v="2"/>
    <x v="5"/>
    <x v="109"/>
    <x v="935"/>
    <n v="8"/>
    <n v="0.11"/>
    <n v="-134.47"/>
  </r>
  <r>
    <s v="ORD-1937"/>
    <x v="937"/>
    <x v="937"/>
    <x v="0"/>
    <s v="CUST-2899"/>
    <s v="Customer 476"/>
    <x v="2"/>
    <s v="United States"/>
    <s v="Miami"/>
    <x v="1"/>
    <n v="76842"/>
    <x v="2"/>
    <s v="PROD-8817"/>
    <x v="0"/>
    <x v="1"/>
    <x v="188"/>
    <x v="936"/>
    <n v="6"/>
    <n v="0.37"/>
    <n v="737.55"/>
  </r>
  <r>
    <s v="ORD-1938"/>
    <x v="938"/>
    <x v="938"/>
    <x v="1"/>
    <s v="CUST-3868"/>
    <s v="Customer 271"/>
    <x v="1"/>
    <s v="United States"/>
    <s v="Chicago"/>
    <x v="0"/>
    <n v="45306"/>
    <x v="1"/>
    <s v="PROD-8632"/>
    <x v="0"/>
    <x v="1"/>
    <x v="24"/>
    <x v="937"/>
    <n v="2"/>
    <n v="0.62"/>
    <n v="-162.82"/>
  </r>
  <r>
    <s v="ORD-1939"/>
    <x v="939"/>
    <x v="939"/>
    <x v="3"/>
    <s v="CUST-6237"/>
    <s v="Customer 43"/>
    <x v="2"/>
    <s v="United States"/>
    <s v="Seattle"/>
    <x v="2"/>
    <n v="69207"/>
    <x v="1"/>
    <s v="PROD-2949"/>
    <x v="2"/>
    <x v="6"/>
    <x v="466"/>
    <x v="938"/>
    <n v="8"/>
    <n v="0.59"/>
    <n v="-233.13"/>
  </r>
  <r>
    <s v="ORD-1940"/>
    <x v="940"/>
    <x v="940"/>
    <x v="1"/>
    <s v="CUST-3537"/>
    <s v="Customer 442"/>
    <x v="2"/>
    <s v="United States"/>
    <s v="Miami"/>
    <x v="8"/>
    <n v="21913"/>
    <x v="2"/>
    <s v="PROD-5307"/>
    <x v="0"/>
    <x v="1"/>
    <x v="467"/>
    <x v="939"/>
    <n v="3"/>
    <n v="0.16"/>
    <n v="258.19"/>
  </r>
  <r>
    <s v="ORD-1941"/>
    <x v="941"/>
    <x v="941"/>
    <x v="3"/>
    <s v="CUST-2830"/>
    <s v="Customer 61"/>
    <x v="0"/>
    <s v="United States"/>
    <s v="Denver"/>
    <x v="2"/>
    <n v="59385"/>
    <x v="3"/>
    <s v="PROD-9865"/>
    <x v="1"/>
    <x v="3"/>
    <x v="468"/>
    <x v="940"/>
    <n v="6"/>
    <n v="0.45"/>
    <n v="1759.15"/>
  </r>
  <r>
    <s v="ORD-1942"/>
    <x v="942"/>
    <x v="942"/>
    <x v="3"/>
    <s v="CUST-8501"/>
    <s v="Customer 454"/>
    <x v="2"/>
    <s v="United States"/>
    <s v="Los Angeles"/>
    <x v="3"/>
    <n v="86702"/>
    <x v="1"/>
    <s v="PROD-2172"/>
    <x v="0"/>
    <x v="9"/>
    <x v="469"/>
    <x v="941"/>
    <n v="9"/>
    <n v="0.51"/>
    <n v="-436.83"/>
  </r>
  <r>
    <s v="ORD-1943"/>
    <x v="943"/>
    <x v="943"/>
    <x v="1"/>
    <s v="CUST-1620"/>
    <s v="Customer 175"/>
    <x v="1"/>
    <s v="United States"/>
    <s v="New York"/>
    <x v="6"/>
    <n v="93472"/>
    <x v="1"/>
    <s v="PROD-7456"/>
    <x v="1"/>
    <x v="10"/>
    <x v="45"/>
    <x v="942"/>
    <n v="11"/>
    <n v="0.37"/>
    <n v="98.38"/>
  </r>
  <r>
    <s v="ORD-1944"/>
    <x v="944"/>
    <x v="944"/>
    <x v="2"/>
    <s v="CUST-6659"/>
    <s v="Customer 290"/>
    <x v="0"/>
    <s v="United States"/>
    <s v="Chicago"/>
    <x v="1"/>
    <n v="46833"/>
    <x v="3"/>
    <s v="PROD-5344"/>
    <x v="0"/>
    <x v="0"/>
    <x v="56"/>
    <x v="943"/>
    <n v="8"/>
    <n v="0.18"/>
    <n v="1837.44"/>
  </r>
  <r>
    <s v="ORD-1945"/>
    <x v="945"/>
    <x v="945"/>
    <x v="1"/>
    <s v="CUST-1413"/>
    <s v="Customer 348"/>
    <x v="1"/>
    <s v="United States"/>
    <s v="Los Angeles"/>
    <x v="1"/>
    <n v="94325"/>
    <x v="0"/>
    <s v="PROD-7896"/>
    <x v="2"/>
    <x v="7"/>
    <x v="223"/>
    <x v="944"/>
    <n v="7"/>
    <n v="0.88"/>
    <n v="2574.5100000000002"/>
  </r>
  <r>
    <s v="ORD-1946"/>
    <x v="946"/>
    <x v="946"/>
    <x v="3"/>
    <s v="CUST-5486"/>
    <s v="Customer 75"/>
    <x v="0"/>
    <s v="United States"/>
    <s v="Denver"/>
    <x v="6"/>
    <n v="76668"/>
    <x v="1"/>
    <s v="PROD-4536"/>
    <x v="2"/>
    <x v="11"/>
    <x v="470"/>
    <x v="945"/>
    <n v="10"/>
    <n v="0.9"/>
    <n v="687.04"/>
  </r>
  <r>
    <s v="ORD-1947"/>
    <x v="947"/>
    <x v="947"/>
    <x v="3"/>
    <s v="CUST-9624"/>
    <s v="Customer 297"/>
    <x v="2"/>
    <s v="United States"/>
    <s v="Los Angeles"/>
    <x v="1"/>
    <n v="27698"/>
    <x v="0"/>
    <s v="PROD-2059"/>
    <x v="1"/>
    <x v="2"/>
    <x v="346"/>
    <x v="946"/>
    <n v="13"/>
    <n v="0.28999999999999998"/>
    <n v="1097.57"/>
  </r>
  <r>
    <s v="ORD-1948"/>
    <x v="948"/>
    <x v="948"/>
    <x v="2"/>
    <s v="CUST-1256"/>
    <s v="Customer 352"/>
    <x v="1"/>
    <s v="United States"/>
    <s v="Houston"/>
    <x v="8"/>
    <n v="80630"/>
    <x v="0"/>
    <s v="PROD-9299"/>
    <x v="1"/>
    <x v="10"/>
    <x v="471"/>
    <x v="947"/>
    <n v="10"/>
    <n v="0.03"/>
    <n v="2243.6799999999998"/>
  </r>
  <r>
    <s v="ORD-1949"/>
    <x v="949"/>
    <x v="949"/>
    <x v="3"/>
    <s v="CUST-6045"/>
    <s v="Customer 186"/>
    <x v="0"/>
    <s v="United States"/>
    <s v="Denver"/>
    <x v="1"/>
    <n v="41421"/>
    <x v="3"/>
    <s v="PROD-7446"/>
    <x v="0"/>
    <x v="8"/>
    <x v="97"/>
    <x v="948"/>
    <n v="7"/>
    <n v="0.5"/>
    <n v="106.22"/>
  </r>
  <r>
    <s v="ORD-1950"/>
    <x v="950"/>
    <x v="950"/>
    <x v="2"/>
    <s v="CUST-1074"/>
    <s v="Customer 15"/>
    <x v="2"/>
    <s v="United States"/>
    <s v="Los Angeles"/>
    <x v="3"/>
    <n v="27295"/>
    <x v="2"/>
    <s v="PROD-9485"/>
    <x v="2"/>
    <x v="5"/>
    <x v="235"/>
    <x v="949"/>
    <n v="5"/>
    <n v="0.24"/>
    <n v="-159.54"/>
  </r>
  <r>
    <s v="ORD-1951"/>
    <x v="951"/>
    <x v="951"/>
    <x v="0"/>
    <s v="CUST-2581"/>
    <s v="Customer 484"/>
    <x v="2"/>
    <s v="United States"/>
    <s v="Dallas"/>
    <x v="2"/>
    <n v="77576"/>
    <x v="2"/>
    <s v="PROD-4717"/>
    <x v="2"/>
    <x v="11"/>
    <x v="472"/>
    <x v="950"/>
    <n v="5"/>
    <n v="0.41"/>
    <n v="702.08"/>
  </r>
  <r>
    <s v="ORD-1952"/>
    <x v="952"/>
    <x v="952"/>
    <x v="1"/>
    <s v="CUST-6765"/>
    <s v="Customer 159"/>
    <x v="0"/>
    <s v="United States"/>
    <s v="Dallas"/>
    <x v="8"/>
    <n v="69707"/>
    <x v="3"/>
    <s v="PROD-6881"/>
    <x v="1"/>
    <x v="2"/>
    <x v="473"/>
    <x v="951"/>
    <n v="5"/>
    <n v="0.13"/>
    <n v="571.91"/>
  </r>
  <r>
    <s v="ORD-1953"/>
    <x v="953"/>
    <x v="953"/>
    <x v="2"/>
    <s v="CUST-5605"/>
    <s v="Customer 460"/>
    <x v="0"/>
    <s v="United States"/>
    <s v="Denver"/>
    <x v="8"/>
    <n v="86620"/>
    <x v="2"/>
    <s v="PROD-7089"/>
    <x v="1"/>
    <x v="4"/>
    <x v="356"/>
    <x v="952"/>
    <n v="2"/>
    <n v="0.76"/>
    <n v="407.95"/>
  </r>
  <r>
    <s v="ORD-1954"/>
    <x v="954"/>
    <x v="954"/>
    <x v="3"/>
    <s v="CUST-3633"/>
    <s v="Customer 145"/>
    <x v="1"/>
    <s v="United States"/>
    <s v="Dallas"/>
    <x v="7"/>
    <n v="67724"/>
    <x v="1"/>
    <s v="PROD-7048"/>
    <x v="2"/>
    <x v="7"/>
    <x v="35"/>
    <x v="953"/>
    <n v="11"/>
    <n v="0.47"/>
    <n v="-290.83999999999997"/>
  </r>
  <r>
    <s v="ORD-1955"/>
    <x v="955"/>
    <x v="955"/>
    <x v="1"/>
    <s v="CUST-1218"/>
    <s v="Customer 268"/>
    <x v="0"/>
    <s v="United States"/>
    <s v="New York"/>
    <x v="3"/>
    <n v="85343"/>
    <x v="2"/>
    <s v="PROD-7155"/>
    <x v="0"/>
    <x v="0"/>
    <x v="474"/>
    <x v="954"/>
    <n v="13"/>
    <n v="0.3"/>
    <n v="986.63"/>
  </r>
  <r>
    <s v="ORD-1956"/>
    <x v="956"/>
    <x v="956"/>
    <x v="2"/>
    <s v="CUST-7212"/>
    <s v="Customer 58"/>
    <x v="1"/>
    <s v="United States"/>
    <s v="Miami"/>
    <x v="6"/>
    <n v="97554"/>
    <x v="2"/>
    <s v="PROD-2078"/>
    <x v="1"/>
    <x v="3"/>
    <x v="43"/>
    <x v="955"/>
    <n v="9"/>
    <n v="0.33"/>
    <n v="267.64999999999998"/>
  </r>
  <r>
    <s v="ORD-1957"/>
    <x v="957"/>
    <x v="957"/>
    <x v="2"/>
    <s v="CUST-8266"/>
    <s v="Customer 203"/>
    <x v="1"/>
    <s v="United States"/>
    <s v="Seattle"/>
    <x v="1"/>
    <n v="52675"/>
    <x v="1"/>
    <s v="PROD-7860"/>
    <x v="2"/>
    <x v="11"/>
    <x v="475"/>
    <x v="956"/>
    <n v="13"/>
    <n v="0.2"/>
    <n v="-71.7"/>
  </r>
  <r>
    <s v="ORD-1958"/>
    <x v="958"/>
    <x v="958"/>
    <x v="3"/>
    <s v="CUST-2189"/>
    <s v="Customer 232"/>
    <x v="2"/>
    <s v="United States"/>
    <s v="Los Angeles"/>
    <x v="3"/>
    <n v="17554"/>
    <x v="0"/>
    <s v="PROD-8753"/>
    <x v="1"/>
    <x v="3"/>
    <x v="176"/>
    <x v="957"/>
    <n v="8"/>
    <n v="0.31"/>
    <n v="395.57"/>
  </r>
  <r>
    <s v="ORD-1959"/>
    <x v="959"/>
    <x v="959"/>
    <x v="2"/>
    <s v="CUST-2742"/>
    <s v="Customer 73"/>
    <x v="1"/>
    <s v="United States"/>
    <s v="Los Angeles"/>
    <x v="1"/>
    <n v="46095"/>
    <x v="2"/>
    <s v="PROD-1559"/>
    <x v="0"/>
    <x v="9"/>
    <x v="240"/>
    <x v="958"/>
    <n v="12"/>
    <n v="0.51"/>
    <n v="369.57"/>
  </r>
  <r>
    <s v="ORD-1960"/>
    <x v="960"/>
    <x v="960"/>
    <x v="0"/>
    <s v="CUST-7523"/>
    <s v="Customer 195"/>
    <x v="0"/>
    <s v="United States"/>
    <s v="Denver"/>
    <x v="3"/>
    <n v="47513"/>
    <x v="1"/>
    <s v="PROD-7587"/>
    <x v="0"/>
    <x v="1"/>
    <x v="17"/>
    <x v="959"/>
    <n v="9"/>
    <n v="0.04"/>
    <n v="232.67"/>
  </r>
  <r>
    <s v="ORD-1961"/>
    <x v="961"/>
    <x v="961"/>
    <x v="0"/>
    <s v="CUST-4131"/>
    <s v="Customer 97"/>
    <x v="2"/>
    <s v="United States"/>
    <s v="Phoenix"/>
    <x v="3"/>
    <n v="32413"/>
    <x v="1"/>
    <s v="PROD-4107"/>
    <x v="2"/>
    <x v="5"/>
    <x v="433"/>
    <x v="960"/>
    <n v="3"/>
    <n v="0.78"/>
    <n v="524.33000000000004"/>
  </r>
  <r>
    <s v="ORD-1962"/>
    <x v="962"/>
    <x v="962"/>
    <x v="1"/>
    <s v="CUST-8834"/>
    <s v="Customer 346"/>
    <x v="0"/>
    <s v="United States"/>
    <s v="Seattle"/>
    <x v="8"/>
    <n v="22533"/>
    <x v="2"/>
    <s v="PROD-5166"/>
    <x v="0"/>
    <x v="1"/>
    <x v="261"/>
    <x v="961"/>
    <n v="2"/>
    <n v="0.84"/>
    <n v="200.95"/>
  </r>
  <r>
    <s v="ORD-1963"/>
    <x v="963"/>
    <x v="963"/>
    <x v="2"/>
    <s v="CUST-8625"/>
    <s v="Customer 309"/>
    <x v="2"/>
    <s v="United States"/>
    <s v="Los Angeles"/>
    <x v="0"/>
    <n v="56547"/>
    <x v="0"/>
    <s v="PROD-4079"/>
    <x v="2"/>
    <x v="5"/>
    <x v="476"/>
    <x v="962"/>
    <n v="12"/>
    <n v="0.84"/>
    <n v="916.67"/>
  </r>
  <r>
    <s v="ORD-1964"/>
    <x v="964"/>
    <x v="964"/>
    <x v="0"/>
    <s v="CUST-8474"/>
    <s v="Customer 105"/>
    <x v="0"/>
    <s v="United States"/>
    <s v="Miami"/>
    <x v="3"/>
    <n v="86664"/>
    <x v="0"/>
    <s v="PROD-9223"/>
    <x v="2"/>
    <x v="11"/>
    <x v="81"/>
    <x v="963"/>
    <n v="13"/>
    <n v="0.76"/>
    <n v="792.9"/>
  </r>
  <r>
    <s v="ORD-1965"/>
    <x v="965"/>
    <x v="965"/>
    <x v="3"/>
    <s v="CUST-9096"/>
    <s v="Customer 280"/>
    <x v="1"/>
    <s v="United States"/>
    <s v="Chicago"/>
    <x v="3"/>
    <n v="62885"/>
    <x v="3"/>
    <s v="PROD-2563"/>
    <x v="0"/>
    <x v="0"/>
    <x v="373"/>
    <x v="964"/>
    <n v="8"/>
    <n v="0.02"/>
    <n v="298.22000000000003"/>
  </r>
  <r>
    <s v="ORD-1966"/>
    <x v="966"/>
    <x v="966"/>
    <x v="2"/>
    <s v="CUST-3809"/>
    <s v="Customer 121"/>
    <x v="1"/>
    <s v="United States"/>
    <s v="Seattle"/>
    <x v="8"/>
    <n v="58596"/>
    <x v="0"/>
    <s v="PROD-6616"/>
    <x v="0"/>
    <x v="0"/>
    <x v="16"/>
    <x v="965"/>
    <n v="12"/>
    <n v="0.01"/>
    <n v="66.7"/>
  </r>
  <r>
    <s v="ORD-1967"/>
    <x v="967"/>
    <x v="967"/>
    <x v="2"/>
    <s v="CUST-2305"/>
    <s v="Customer 288"/>
    <x v="0"/>
    <s v="United States"/>
    <s v="Dallas"/>
    <x v="7"/>
    <n v="94248"/>
    <x v="1"/>
    <s v="PROD-2324"/>
    <x v="0"/>
    <x v="9"/>
    <x v="421"/>
    <x v="966"/>
    <n v="5"/>
    <n v="0.75"/>
    <n v="2160.7800000000002"/>
  </r>
  <r>
    <s v="ORD-1968"/>
    <x v="968"/>
    <x v="968"/>
    <x v="3"/>
    <s v="CUST-1612"/>
    <s v="Customer 420"/>
    <x v="1"/>
    <s v="United States"/>
    <s v="Los Angeles"/>
    <x v="7"/>
    <n v="63839"/>
    <x v="0"/>
    <s v="PROD-7340"/>
    <x v="1"/>
    <x v="2"/>
    <x v="424"/>
    <x v="967"/>
    <n v="11"/>
    <n v="0.7"/>
    <n v="-205.61"/>
  </r>
  <r>
    <s v="ORD-1969"/>
    <x v="969"/>
    <x v="969"/>
    <x v="1"/>
    <s v="CUST-2310"/>
    <s v="Customer 379"/>
    <x v="0"/>
    <s v="United States"/>
    <s v="Denver"/>
    <x v="5"/>
    <n v="18998"/>
    <x v="0"/>
    <s v="PROD-1447"/>
    <x v="0"/>
    <x v="0"/>
    <x v="177"/>
    <x v="968"/>
    <n v="4"/>
    <n v="0.02"/>
    <n v="101.78"/>
  </r>
  <r>
    <s v="ORD-1970"/>
    <x v="970"/>
    <x v="970"/>
    <x v="0"/>
    <s v="CUST-2434"/>
    <s v="Customer 409"/>
    <x v="0"/>
    <s v="United States"/>
    <s v="Dallas"/>
    <x v="3"/>
    <n v="84098"/>
    <x v="3"/>
    <s v="PROD-8006"/>
    <x v="1"/>
    <x v="2"/>
    <x v="86"/>
    <x v="969"/>
    <n v="14"/>
    <n v="0.21"/>
    <n v="88.66"/>
  </r>
  <r>
    <s v="ORD-1971"/>
    <x v="971"/>
    <x v="971"/>
    <x v="0"/>
    <s v="CUST-3988"/>
    <s v="Customer 348"/>
    <x v="0"/>
    <s v="United States"/>
    <s v="Dallas"/>
    <x v="1"/>
    <n v="78685"/>
    <x v="2"/>
    <s v="PROD-9117"/>
    <x v="2"/>
    <x v="11"/>
    <x v="252"/>
    <x v="970"/>
    <n v="9"/>
    <n v="0.79"/>
    <n v="441.67"/>
  </r>
  <r>
    <s v="ORD-1972"/>
    <x v="972"/>
    <x v="972"/>
    <x v="0"/>
    <s v="CUST-9656"/>
    <s v="Customer 74"/>
    <x v="2"/>
    <s v="United States"/>
    <s v="Miami"/>
    <x v="4"/>
    <n v="47283"/>
    <x v="1"/>
    <s v="PROD-7636"/>
    <x v="1"/>
    <x v="10"/>
    <x v="341"/>
    <x v="971"/>
    <n v="6"/>
    <n v="0.56000000000000005"/>
    <n v="1786.18"/>
  </r>
  <r>
    <s v="ORD-1973"/>
    <x v="973"/>
    <x v="973"/>
    <x v="3"/>
    <s v="CUST-5533"/>
    <s v="Customer 362"/>
    <x v="0"/>
    <s v="United States"/>
    <s v="Miami"/>
    <x v="6"/>
    <n v="54921"/>
    <x v="3"/>
    <s v="PROD-2516"/>
    <x v="0"/>
    <x v="1"/>
    <x v="305"/>
    <x v="972"/>
    <n v="8"/>
    <n v="0.8"/>
    <n v="2135.23"/>
  </r>
  <r>
    <s v="ORD-1974"/>
    <x v="974"/>
    <x v="974"/>
    <x v="2"/>
    <s v="CUST-2255"/>
    <s v="Customer 458"/>
    <x v="0"/>
    <s v="United States"/>
    <s v="Phoenix"/>
    <x v="0"/>
    <n v="83978"/>
    <x v="2"/>
    <s v="PROD-6193"/>
    <x v="2"/>
    <x v="11"/>
    <x v="215"/>
    <x v="973"/>
    <n v="14"/>
    <n v="0.67"/>
    <n v="1556.26"/>
  </r>
  <r>
    <s v="ORD-1975"/>
    <x v="975"/>
    <x v="975"/>
    <x v="2"/>
    <s v="CUST-9015"/>
    <s v="Customer 127"/>
    <x v="1"/>
    <s v="United States"/>
    <s v="Seattle"/>
    <x v="7"/>
    <n v="53738"/>
    <x v="0"/>
    <s v="PROD-7363"/>
    <x v="1"/>
    <x v="2"/>
    <x v="109"/>
    <x v="974"/>
    <n v="7"/>
    <n v="0.18"/>
    <n v="554.04"/>
  </r>
  <r>
    <s v="ORD-1976"/>
    <x v="976"/>
    <x v="976"/>
    <x v="3"/>
    <s v="CUST-3012"/>
    <s v="Customer 314"/>
    <x v="2"/>
    <s v="United States"/>
    <s v="Phoenix"/>
    <x v="1"/>
    <n v="46940"/>
    <x v="1"/>
    <s v="PROD-9693"/>
    <x v="1"/>
    <x v="10"/>
    <x v="287"/>
    <x v="975"/>
    <n v="9"/>
    <n v="0.85"/>
    <n v="261.52"/>
  </r>
  <r>
    <s v="ORD-1977"/>
    <x v="977"/>
    <x v="977"/>
    <x v="3"/>
    <s v="CUST-7145"/>
    <s v="Customer 307"/>
    <x v="0"/>
    <s v="United States"/>
    <s v="Seattle"/>
    <x v="4"/>
    <n v="58698"/>
    <x v="2"/>
    <s v="PROD-3405"/>
    <x v="0"/>
    <x v="0"/>
    <x v="384"/>
    <x v="976"/>
    <n v="10"/>
    <n v="0.41"/>
    <n v="-445.16"/>
  </r>
  <r>
    <s v="ORD-1978"/>
    <x v="978"/>
    <x v="978"/>
    <x v="3"/>
    <s v="CUST-5255"/>
    <s v="Customer 55"/>
    <x v="1"/>
    <s v="United States"/>
    <s v="Denver"/>
    <x v="2"/>
    <n v="82067"/>
    <x v="3"/>
    <s v="PROD-1317"/>
    <x v="0"/>
    <x v="9"/>
    <x v="477"/>
    <x v="977"/>
    <n v="12"/>
    <n v="0.03"/>
    <n v="1679.94"/>
  </r>
  <r>
    <s v="ORD-1979"/>
    <x v="979"/>
    <x v="979"/>
    <x v="1"/>
    <s v="CUST-2333"/>
    <s v="Customer 301"/>
    <x v="1"/>
    <s v="United States"/>
    <s v="Seattle"/>
    <x v="5"/>
    <n v="89828"/>
    <x v="1"/>
    <s v="PROD-4649"/>
    <x v="0"/>
    <x v="0"/>
    <x v="241"/>
    <x v="978"/>
    <n v="12"/>
    <n v="0.03"/>
    <n v="27.49"/>
  </r>
  <r>
    <s v="ORD-1980"/>
    <x v="980"/>
    <x v="980"/>
    <x v="3"/>
    <s v="CUST-6332"/>
    <s v="Customer 323"/>
    <x v="2"/>
    <s v="United States"/>
    <s v="Los Angeles"/>
    <x v="0"/>
    <n v="66404"/>
    <x v="3"/>
    <s v="PROD-7198"/>
    <x v="0"/>
    <x v="1"/>
    <x v="362"/>
    <x v="979"/>
    <n v="8"/>
    <n v="0.64"/>
    <n v="96.79"/>
  </r>
  <r>
    <s v="ORD-1981"/>
    <x v="981"/>
    <x v="981"/>
    <x v="2"/>
    <s v="CUST-5626"/>
    <s v="Customer 16"/>
    <x v="0"/>
    <s v="United States"/>
    <s v="New York"/>
    <x v="4"/>
    <n v="34955"/>
    <x v="2"/>
    <s v="PROD-1097"/>
    <x v="0"/>
    <x v="8"/>
    <x v="478"/>
    <x v="980"/>
    <n v="3"/>
    <n v="0.42"/>
    <n v="141.51"/>
  </r>
  <r>
    <s v="ORD-1982"/>
    <x v="982"/>
    <x v="982"/>
    <x v="3"/>
    <s v="CUST-9220"/>
    <s v="Customer 314"/>
    <x v="0"/>
    <s v="United States"/>
    <s v="Miami"/>
    <x v="0"/>
    <n v="85896"/>
    <x v="3"/>
    <s v="PROD-6383"/>
    <x v="0"/>
    <x v="0"/>
    <x v="87"/>
    <x v="981"/>
    <n v="13"/>
    <n v="0.61"/>
    <n v="-335.68"/>
  </r>
  <r>
    <s v="ORD-1983"/>
    <x v="983"/>
    <x v="983"/>
    <x v="2"/>
    <s v="CUST-1370"/>
    <s v="Customer 336"/>
    <x v="0"/>
    <s v="United States"/>
    <s v="Miami"/>
    <x v="0"/>
    <n v="20185"/>
    <x v="1"/>
    <s v="PROD-6576"/>
    <x v="1"/>
    <x v="10"/>
    <x v="411"/>
    <x v="982"/>
    <n v="11"/>
    <n v="0.24"/>
    <n v="42.1"/>
  </r>
  <r>
    <s v="ORD-1984"/>
    <x v="984"/>
    <x v="984"/>
    <x v="1"/>
    <s v="CUST-9301"/>
    <s v="Customer 22"/>
    <x v="1"/>
    <s v="United States"/>
    <s v="Dallas"/>
    <x v="1"/>
    <n v="67057"/>
    <x v="0"/>
    <s v="PROD-3352"/>
    <x v="2"/>
    <x v="7"/>
    <x v="459"/>
    <x v="983"/>
    <n v="7"/>
    <n v="0.14000000000000001"/>
    <n v="-579.63"/>
  </r>
  <r>
    <s v="ORD-1985"/>
    <x v="985"/>
    <x v="985"/>
    <x v="1"/>
    <s v="CUST-1794"/>
    <s v="Customer 204"/>
    <x v="1"/>
    <s v="United States"/>
    <s v="Miami"/>
    <x v="7"/>
    <n v="51833"/>
    <x v="0"/>
    <s v="PROD-5877"/>
    <x v="1"/>
    <x v="2"/>
    <x v="298"/>
    <x v="984"/>
    <n v="9"/>
    <n v="0.13"/>
    <n v="-784.62"/>
  </r>
  <r>
    <s v="ORD-1986"/>
    <x v="986"/>
    <x v="986"/>
    <x v="2"/>
    <s v="CUST-9047"/>
    <s v="Customer 132"/>
    <x v="0"/>
    <s v="United States"/>
    <s v="Los Angeles"/>
    <x v="1"/>
    <n v="36884"/>
    <x v="1"/>
    <s v="PROD-4655"/>
    <x v="0"/>
    <x v="1"/>
    <x v="118"/>
    <x v="985"/>
    <n v="7"/>
    <n v="0.22"/>
    <n v="-18.420000000000002"/>
  </r>
  <r>
    <s v="ORD-1987"/>
    <x v="987"/>
    <x v="987"/>
    <x v="2"/>
    <s v="CUST-9083"/>
    <s v="Customer 112"/>
    <x v="2"/>
    <s v="United States"/>
    <s v="Chicago"/>
    <x v="4"/>
    <n v="96390"/>
    <x v="0"/>
    <s v="PROD-9510"/>
    <x v="1"/>
    <x v="4"/>
    <x v="194"/>
    <x v="986"/>
    <n v="10"/>
    <n v="0.21"/>
    <n v="-697.63"/>
  </r>
  <r>
    <s v="ORD-1988"/>
    <x v="988"/>
    <x v="988"/>
    <x v="0"/>
    <s v="CUST-1811"/>
    <s v="Customer 183"/>
    <x v="1"/>
    <s v="United States"/>
    <s v="Miami"/>
    <x v="1"/>
    <n v="40684"/>
    <x v="3"/>
    <s v="PROD-8439"/>
    <x v="2"/>
    <x v="6"/>
    <x v="479"/>
    <x v="987"/>
    <n v="13"/>
    <n v="0.3"/>
    <n v="16.04"/>
  </r>
  <r>
    <s v="ORD-1989"/>
    <x v="989"/>
    <x v="989"/>
    <x v="1"/>
    <s v="CUST-5517"/>
    <s v="Customer 236"/>
    <x v="2"/>
    <s v="United States"/>
    <s v="Houston"/>
    <x v="5"/>
    <n v="78959"/>
    <x v="2"/>
    <s v="PROD-1244"/>
    <x v="1"/>
    <x v="4"/>
    <x v="340"/>
    <x v="988"/>
    <n v="11"/>
    <n v="0.77"/>
    <n v="170.25"/>
  </r>
  <r>
    <s v="ORD-1990"/>
    <x v="990"/>
    <x v="990"/>
    <x v="1"/>
    <s v="CUST-5584"/>
    <s v="Customer 161"/>
    <x v="2"/>
    <s v="United States"/>
    <s v="Seattle"/>
    <x v="2"/>
    <n v="10691"/>
    <x v="1"/>
    <s v="PROD-1980"/>
    <x v="0"/>
    <x v="9"/>
    <x v="212"/>
    <x v="989"/>
    <n v="11"/>
    <n v="0.65"/>
    <n v="826.69"/>
  </r>
  <r>
    <s v="ORD-1991"/>
    <x v="991"/>
    <x v="991"/>
    <x v="1"/>
    <s v="CUST-7098"/>
    <s v="Customer 318"/>
    <x v="2"/>
    <s v="United States"/>
    <s v="Chicago"/>
    <x v="8"/>
    <n v="30376"/>
    <x v="2"/>
    <s v="PROD-5317"/>
    <x v="1"/>
    <x v="4"/>
    <x v="133"/>
    <x v="990"/>
    <n v="2"/>
    <n v="0.65"/>
    <n v="1644.72"/>
  </r>
  <r>
    <s v="ORD-1992"/>
    <x v="992"/>
    <x v="992"/>
    <x v="2"/>
    <s v="CUST-5966"/>
    <s v="Customer 383"/>
    <x v="1"/>
    <s v="United States"/>
    <s v="Denver"/>
    <x v="6"/>
    <n v="59868"/>
    <x v="2"/>
    <s v="PROD-1498"/>
    <x v="1"/>
    <x v="3"/>
    <x v="365"/>
    <x v="991"/>
    <n v="10"/>
    <n v="7.0000000000000007E-2"/>
    <n v="-227.71"/>
  </r>
  <r>
    <s v="ORD-1993"/>
    <x v="993"/>
    <x v="993"/>
    <x v="0"/>
    <s v="CUST-7136"/>
    <s v="Customer 222"/>
    <x v="2"/>
    <s v="United States"/>
    <s v="New York"/>
    <x v="5"/>
    <n v="46344"/>
    <x v="2"/>
    <s v="PROD-5140"/>
    <x v="2"/>
    <x v="5"/>
    <x v="86"/>
    <x v="992"/>
    <n v="6"/>
    <n v="0.35"/>
    <n v="588.58000000000004"/>
  </r>
  <r>
    <s v="ORD-1994"/>
    <x v="994"/>
    <x v="994"/>
    <x v="3"/>
    <s v="CUST-3190"/>
    <s v="Customer 397"/>
    <x v="2"/>
    <s v="United States"/>
    <s v="New York"/>
    <x v="6"/>
    <n v="93017"/>
    <x v="2"/>
    <s v="PROD-8506"/>
    <x v="2"/>
    <x v="6"/>
    <x v="31"/>
    <x v="993"/>
    <n v="7"/>
    <n v="0.23"/>
    <n v="268.98"/>
  </r>
  <r>
    <s v="ORD-1995"/>
    <x v="995"/>
    <x v="995"/>
    <x v="2"/>
    <s v="CUST-6336"/>
    <s v="Customer 47"/>
    <x v="1"/>
    <s v="United States"/>
    <s v="Chicago"/>
    <x v="8"/>
    <n v="65637"/>
    <x v="2"/>
    <s v="PROD-8568"/>
    <x v="2"/>
    <x v="6"/>
    <x v="436"/>
    <x v="994"/>
    <n v="8"/>
    <n v="0.09"/>
    <n v="1297.18"/>
  </r>
  <r>
    <s v="ORD-1996"/>
    <x v="996"/>
    <x v="996"/>
    <x v="1"/>
    <s v="CUST-3672"/>
    <s v="Customer 82"/>
    <x v="0"/>
    <s v="United States"/>
    <s v="Los Angeles"/>
    <x v="0"/>
    <n v="88456"/>
    <x v="3"/>
    <s v="PROD-9561"/>
    <x v="0"/>
    <x v="0"/>
    <x v="69"/>
    <x v="995"/>
    <n v="7"/>
    <n v="0.57999999999999996"/>
    <n v="298.45999999999998"/>
  </r>
  <r>
    <s v="ORD-1997"/>
    <x v="997"/>
    <x v="997"/>
    <x v="3"/>
    <s v="CUST-7898"/>
    <s v="Customer 411"/>
    <x v="1"/>
    <s v="United States"/>
    <s v="Denver"/>
    <x v="8"/>
    <n v="90461"/>
    <x v="2"/>
    <s v="PROD-5902"/>
    <x v="0"/>
    <x v="8"/>
    <x v="326"/>
    <x v="996"/>
    <n v="2"/>
    <n v="0.25"/>
    <n v="819.09"/>
  </r>
  <r>
    <s v="ORD-1998"/>
    <x v="998"/>
    <x v="998"/>
    <x v="2"/>
    <s v="CUST-6676"/>
    <s v="Customer 171"/>
    <x v="1"/>
    <s v="United States"/>
    <s v="Chicago"/>
    <x v="2"/>
    <n v="21297"/>
    <x v="1"/>
    <s v="PROD-8533"/>
    <x v="0"/>
    <x v="1"/>
    <x v="78"/>
    <x v="997"/>
    <n v="14"/>
    <n v="0.43"/>
    <n v="670.47"/>
  </r>
  <r>
    <s v="ORD-1999"/>
    <x v="999"/>
    <x v="999"/>
    <x v="3"/>
    <s v="CUST-2856"/>
    <s v="Customer 271"/>
    <x v="1"/>
    <s v="United States"/>
    <s v="Phoenix"/>
    <x v="3"/>
    <n v="88477"/>
    <x v="0"/>
    <s v="PROD-5479"/>
    <x v="1"/>
    <x v="3"/>
    <x v="303"/>
    <x v="998"/>
    <n v="14"/>
    <n v="0.35"/>
    <n v="816.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EC07C3-D24B-4B49-B753-28EC128EB89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4:X21" firstHeaderRow="1" firstDataRow="1" firstDataCol="0"/>
  <pivotFields count="27">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items count="4">
        <item x="2"/>
        <item x="0"/>
        <item x="1"/>
        <item t="default"/>
      </items>
    </pivotField>
    <pivotField showAll="0"/>
    <pivotField showAll="0"/>
    <pivotField showAll="0"/>
    <pivotField showAll="0"/>
    <pivotField showAll="0">
      <items count="5">
        <item x="0"/>
        <item x="1"/>
        <item x="2"/>
        <item x="3"/>
        <item t="default"/>
      </items>
    </pivotField>
    <pivotField showAll="0"/>
    <pivotField showAll="0">
      <items count="4">
        <item x="0"/>
        <item x="2"/>
        <item x="1"/>
        <item t="default"/>
      </items>
    </pivotField>
    <pivotField showAll="0">
      <items count="13">
        <item x="4"/>
        <item x="5"/>
        <item x="7"/>
        <item x="0"/>
        <item x="9"/>
        <item x="10"/>
        <item x="1"/>
        <item x="3"/>
        <item x="6"/>
        <item x="2"/>
        <item x="11"/>
        <item x="8"/>
        <item t="default"/>
      </items>
    </pivotField>
    <pivotField showAll="0"/>
    <pivotField showAll="0"/>
    <pivotField showAll="0"/>
    <pivotField numFmtId="10"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0AAD8D-B519-4408-99FB-E3C587F8833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P6:R11" firstHeaderRow="0" firstDataRow="1" firstDataCol="1"/>
  <pivotFields count="27">
    <pivotField dataField="1"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axis="axisRow" showAll="0">
      <items count="5">
        <item x="0"/>
        <item x="1"/>
        <item x="3"/>
        <item x="2"/>
        <item t="default"/>
      </items>
    </pivotField>
    <pivotField showAll="0"/>
    <pivotField showAll="0"/>
    <pivotField showAll="0">
      <items count="4">
        <item x="2"/>
        <item x="0"/>
        <item x="1"/>
        <item t="default"/>
      </items>
    </pivotField>
    <pivotField showAll="0"/>
    <pivotField showAll="0"/>
    <pivotField showAll="0"/>
    <pivotField showAll="0"/>
    <pivotField showAll="0">
      <items count="5">
        <item x="0"/>
        <item x="1"/>
        <item x="2"/>
        <item x="3"/>
        <item t="default"/>
      </items>
    </pivotField>
    <pivotField showAll="0"/>
    <pivotField showAll="0">
      <items count="4">
        <item x="0"/>
        <item x="2"/>
        <item x="1"/>
        <item t="default"/>
      </items>
    </pivotField>
    <pivotField showAll="0">
      <items count="13">
        <item x="4"/>
        <item x="5"/>
        <item x="7"/>
        <item x="0"/>
        <item x="9"/>
        <item x="10"/>
        <item x="1"/>
        <item x="3"/>
        <item x="6"/>
        <item x="2"/>
        <item x="11"/>
        <item x="8"/>
        <item t="default"/>
      </items>
    </pivotField>
    <pivotField showAll="0"/>
    <pivotField dataField="1" showAll="0"/>
    <pivotField showAll="0"/>
    <pivotField numFmtId="10"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t="grand">
      <x/>
    </i>
  </rowItems>
  <colFields count="1">
    <field x="-2"/>
  </colFields>
  <colItems count="2">
    <i>
      <x/>
    </i>
    <i i="1">
      <x v="1"/>
    </i>
  </colItems>
  <dataFields count="2">
    <dataField name="Count of Order ID" fld="0" subtotal="count" showDataAs="percentOfTotal" baseField="3" baseItem="0" numFmtId="10"/>
    <dataField name="Sum of Sales" fld="16" showDataAs="percentOfTotal" baseField="3" baseItem="0" numFmtId="10"/>
  </dataFields>
  <formats count="4">
    <format dxfId="3">
      <pivotArea collapsedLevelsAreSubtotals="1" fieldPosition="0">
        <references count="2">
          <reference field="4294967294" count="1" selected="0">
            <x v="0"/>
          </reference>
          <reference field="3" count="0"/>
        </references>
      </pivotArea>
    </format>
    <format dxfId="2">
      <pivotArea outline="0" fieldPosition="0">
        <references count="1">
          <reference field="4294967294" count="1">
            <x v="0"/>
          </reference>
        </references>
      </pivotArea>
    </format>
    <format dxfId="1">
      <pivotArea dataOnly="0" labelOnly="1" outline="0" fieldPosition="0">
        <references count="1">
          <reference field="4294967294" count="1">
            <x v="1"/>
          </reference>
        </references>
      </pivotArea>
    </format>
    <format dxfId="0">
      <pivotArea outline="0" fieldPosition="0">
        <references count="1">
          <reference field="4294967294" count="1">
            <x v="1"/>
          </reference>
        </references>
      </pivotArea>
    </format>
  </formats>
  <chartFormats count="10">
    <chartFormat chart="32" format="12" series="1">
      <pivotArea type="data" outline="0" fieldPosition="0">
        <references count="1">
          <reference field="4294967294" count="1" selected="0">
            <x v="0"/>
          </reference>
        </references>
      </pivotArea>
    </chartFormat>
    <chartFormat chart="32" format="13">
      <pivotArea type="data" outline="0" fieldPosition="0">
        <references count="2">
          <reference field="4294967294" count="1" selected="0">
            <x v="0"/>
          </reference>
          <reference field="3" count="1" selected="0">
            <x v="0"/>
          </reference>
        </references>
      </pivotArea>
    </chartFormat>
    <chartFormat chart="32" format="14">
      <pivotArea type="data" outline="0" fieldPosition="0">
        <references count="2">
          <reference field="4294967294" count="1" selected="0">
            <x v="0"/>
          </reference>
          <reference field="3" count="1" selected="0">
            <x v="1"/>
          </reference>
        </references>
      </pivotArea>
    </chartFormat>
    <chartFormat chart="32" format="15">
      <pivotArea type="data" outline="0" fieldPosition="0">
        <references count="2">
          <reference field="4294967294" count="1" selected="0">
            <x v="0"/>
          </reference>
          <reference field="3" count="1" selected="0">
            <x v="2"/>
          </reference>
        </references>
      </pivotArea>
    </chartFormat>
    <chartFormat chart="32" format="16">
      <pivotArea type="data" outline="0" fieldPosition="0">
        <references count="2">
          <reference field="4294967294" count="1" selected="0">
            <x v="0"/>
          </reference>
          <reference field="3" count="1" selected="0">
            <x v="3"/>
          </reference>
        </references>
      </pivotArea>
    </chartFormat>
    <chartFormat chart="32" format="17" series="1">
      <pivotArea type="data" outline="0" fieldPosition="0">
        <references count="1">
          <reference field="4294967294" count="1" selected="0">
            <x v="1"/>
          </reference>
        </references>
      </pivotArea>
    </chartFormat>
    <chartFormat chart="32" format="18">
      <pivotArea type="data" outline="0" fieldPosition="0">
        <references count="2">
          <reference field="4294967294" count="1" selected="0">
            <x v="1"/>
          </reference>
          <reference field="3" count="1" selected="0">
            <x v="0"/>
          </reference>
        </references>
      </pivotArea>
    </chartFormat>
    <chartFormat chart="32" format="19">
      <pivotArea type="data" outline="0" fieldPosition="0">
        <references count="2">
          <reference field="4294967294" count="1" selected="0">
            <x v="1"/>
          </reference>
          <reference field="3" count="1" selected="0">
            <x v="1"/>
          </reference>
        </references>
      </pivotArea>
    </chartFormat>
    <chartFormat chart="32" format="20">
      <pivotArea type="data" outline="0" fieldPosition="0">
        <references count="2">
          <reference field="4294967294" count="1" selected="0">
            <x v="1"/>
          </reference>
          <reference field="3" count="1" selected="0">
            <x v="2"/>
          </reference>
        </references>
      </pivotArea>
    </chartFormat>
    <chartFormat chart="32" format="21">
      <pivotArea type="data" outline="0" fieldPosition="0">
        <references count="2">
          <reference field="4294967294" count="1" selected="0">
            <x v="1"/>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6AF1AB-032E-43FD-930E-91D50C73F417}" name="Top 10 Products b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M6:N17" firstHeaderRow="1" firstDataRow="1" firstDataCol="1"/>
  <pivotFields count="27">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5">
        <item x="0"/>
        <item x="1"/>
        <item x="3"/>
        <item x="2"/>
        <item t="default"/>
      </items>
    </pivotField>
    <pivotField showAll="0"/>
    <pivotField showAll="0"/>
    <pivotField showAll="0">
      <items count="4">
        <item x="2"/>
        <item x="0"/>
        <item x="1"/>
        <item t="default"/>
      </items>
    </pivotField>
    <pivotField showAll="0"/>
    <pivotField showAll="0"/>
    <pivotField showAll="0"/>
    <pivotField showAll="0"/>
    <pivotField showAll="0">
      <items count="5">
        <item x="0"/>
        <item x="1"/>
        <item x="2"/>
        <item x="3"/>
        <item t="default"/>
      </items>
    </pivotField>
    <pivotField showAll="0"/>
    <pivotField showAll="0">
      <items count="4">
        <item x="0"/>
        <item x="2"/>
        <item x="1"/>
        <item t="default"/>
      </items>
    </pivotField>
    <pivotField showAll="0">
      <items count="13">
        <item x="4"/>
        <item x="5"/>
        <item x="7"/>
        <item x="0"/>
        <item x="9"/>
        <item x="10"/>
        <item x="1"/>
        <item x="3"/>
        <item x="6"/>
        <item x="2"/>
        <item x="11"/>
        <item x="8"/>
        <item t="default"/>
      </items>
    </pivotField>
    <pivotField axis="axisRow" showAll="0" measureFilter="1" sortType="descending">
      <items count="481">
        <item x="3"/>
        <item x="402"/>
        <item x="43"/>
        <item x="307"/>
        <item x="96"/>
        <item x="370"/>
        <item x="317"/>
        <item x="178"/>
        <item x="374"/>
        <item x="215"/>
        <item x="364"/>
        <item x="389"/>
        <item x="276"/>
        <item x="227"/>
        <item x="36"/>
        <item x="81"/>
        <item x="371"/>
        <item x="137"/>
        <item x="369"/>
        <item x="351"/>
        <item x="205"/>
        <item x="160"/>
        <item x="119"/>
        <item x="428"/>
        <item x="166"/>
        <item x="384"/>
        <item x="462"/>
        <item x="451"/>
        <item x="304"/>
        <item x="373"/>
        <item x="132"/>
        <item x="444"/>
        <item x="110"/>
        <item x="357"/>
        <item x="355"/>
        <item x="313"/>
        <item x="277"/>
        <item x="111"/>
        <item x="383"/>
        <item x="176"/>
        <item x="189"/>
        <item x="183"/>
        <item x="287"/>
        <item x="134"/>
        <item x="14"/>
        <item x="295"/>
        <item x="309"/>
        <item x="54"/>
        <item x="442"/>
        <item x="198"/>
        <item x="91"/>
        <item x="363"/>
        <item x="186"/>
        <item x="224"/>
        <item x="420"/>
        <item x="194"/>
        <item x="339"/>
        <item x="204"/>
        <item x="173"/>
        <item x="11"/>
        <item x="418"/>
        <item x="336"/>
        <item x="323"/>
        <item x="401"/>
        <item x="221"/>
        <item x="142"/>
        <item x="55"/>
        <item x="240"/>
        <item x="60"/>
        <item x="115"/>
        <item x="316"/>
        <item x="30"/>
        <item x="74"/>
        <item x="12"/>
        <item x="230"/>
        <item x="72"/>
        <item x="97"/>
        <item x="15"/>
        <item x="170"/>
        <item x="296"/>
        <item x="113"/>
        <item x="98"/>
        <item x="358"/>
        <item x="345"/>
        <item x="254"/>
        <item x="413"/>
        <item x="403"/>
        <item x="223"/>
        <item x="4"/>
        <item x="375"/>
        <item x="338"/>
        <item x="94"/>
        <item x="79"/>
        <item x="263"/>
        <item x="411"/>
        <item x="163"/>
        <item x="455"/>
        <item x="478"/>
        <item x="368"/>
        <item x="467"/>
        <item x="199"/>
        <item x="293"/>
        <item x="162"/>
        <item x="379"/>
        <item x="441"/>
        <item x="335"/>
        <item x="261"/>
        <item x="108"/>
        <item x="62"/>
        <item x="466"/>
        <item x="266"/>
        <item x="172"/>
        <item x="156"/>
        <item x="117"/>
        <item x="465"/>
        <item x="460"/>
        <item x="85"/>
        <item x="344"/>
        <item x="228"/>
        <item x="457"/>
        <item x="397"/>
        <item x="148"/>
        <item x="128"/>
        <item x="310"/>
        <item x="354"/>
        <item x="405"/>
        <item x="147"/>
        <item x="235"/>
        <item x="92"/>
        <item x="367"/>
        <item x="343"/>
        <item x="144"/>
        <item x="51"/>
        <item x="95"/>
        <item x="449"/>
        <item x="398"/>
        <item x="382"/>
        <item x="179"/>
        <item x="294"/>
        <item x="185"/>
        <item x="258"/>
        <item x="320"/>
        <item x="280"/>
        <item x="271"/>
        <item x="70"/>
        <item x="430"/>
        <item x="426"/>
        <item x="77"/>
        <item x="440"/>
        <item x="195"/>
        <item x="284"/>
        <item x="366"/>
        <item x="9"/>
        <item x="58"/>
        <item x="213"/>
        <item x="425"/>
        <item x="80"/>
        <item x="241"/>
        <item x="342"/>
        <item x="206"/>
        <item x="380"/>
        <item x="88"/>
        <item x="381"/>
        <item x="138"/>
        <item x="175"/>
        <item x="270"/>
        <item x="249"/>
        <item x="439"/>
        <item x="333"/>
        <item x="475"/>
        <item x="245"/>
        <item x="452"/>
        <item x="225"/>
        <item x="169"/>
        <item x="35"/>
        <item x="66"/>
        <item x="1"/>
        <item x="305"/>
        <item x="68"/>
        <item x="101"/>
        <item x="19"/>
        <item x="348"/>
        <item x="47"/>
        <item x="422"/>
        <item x="8"/>
        <item x="226"/>
        <item x="282"/>
        <item x="210"/>
        <item x="116"/>
        <item x="328"/>
        <item x="41"/>
        <item x="20"/>
        <item x="255"/>
        <item x="437"/>
        <item x="42"/>
        <item x="16"/>
        <item x="44"/>
        <item x="140"/>
        <item x="52"/>
        <item x="436"/>
        <item x="443"/>
        <item x="220"/>
        <item x="244"/>
        <item x="272"/>
        <item x="10"/>
        <item x="372"/>
        <item x="286"/>
        <item x="2"/>
        <item x="448"/>
        <item x="463"/>
        <item x="229"/>
        <item x="308"/>
        <item x="407"/>
        <item x="447"/>
        <item x="21"/>
        <item x="390"/>
        <item x="143"/>
        <item x="123"/>
        <item x="76"/>
        <item x="40"/>
        <item x="409"/>
        <item x="248"/>
        <item x="171"/>
        <item x="13"/>
        <item x="458"/>
        <item x="267"/>
        <item x="314"/>
        <item x="211"/>
        <item x="432"/>
        <item x="33"/>
        <item x="57"/>
        <item x="61"/>
        <item x="5"/>
        <item x="306"/>
        <item x="385"/>
        <item x="256"/>
        <item x="69"/>
        <item x="45"/>
        <item x="73"/>
        <item x="141"/>
        <item x="464"/>
        <item x="212"/>
        <item x="217"/>
        <item x="50"/>
        <item x="102"/>
        <item x="24"/>
        <item x="182"/>
        <item x="406"/>
        <item x="174"/>
        <item x="340"/>
        <item x="477"/>
        <item x="300"/>
        <item x="410"/>
        <item x="419"/>
        <item x="253"/>
        <item x="158"/>
        <item x="234"/>
        <item x="238"/>
        <item x="29"/>
        <item x="471"/>
        <item x="146"/>
        <item x="324"/>
        <item x="105"/>
        <item x="473"/>
        <item x="472"/>
        <item x="191"/>
        <item x="125"/>
        <item x="231"/>
        <item x="325"/>
        <item x="268"/>
        <item x="37"/>
        <item x="34"/>
        <item x="100"/>
        <item x="109"/>
        <item x="168"/>
        <item x="26"/>
        <item x="283"/>
        <item x="65"/>
        <item x="188"/>
        <item x="461"/>
        <item x="250"/>
        <item x="83"/>
        <item x="159"/>
        <item x="303"/>
        <item x="126"/>
        <item x="22"/>
        <item x="124"/>
        <item x="312"/>
        <item x="289"/>
        <item x="321"/>
        <item x="470"/>
        <item x="135"/>
        <item x="90"/>
        <item x="127"/>
        <item x="450"/>
        <item x="251"/>
        <item x="181"/>
        <item x="164"/>
        <item x="154"/>
        <item x="139"/>
        <item x="318"/>
        <item x="202"/>
        <item x="86"/>
        <item x="257"/>
        <item x="319"/>
        <item x="404"/>
        <item x="7"/>
        <item x="362"/>
        <item x="23"/>
        <item x="454"/>
        <item x="360"/>
        <item x="446"/>
        <item x="393"/>
        <item x="427"/>
        <item x="157"/>
        <item x="218"/>
        <item x="243"/>
        <item x="129"/>
        <item x="387"/>
        <item x="104"/>
        <item x="64"/>
        <item x="201"/>
        <item x="236"/>
        <item x="216"/>
        <item x="89"/>
        <item x="346"/>
        <item x="347"/>
        <item x="67"/>
        <item x="49"/>
        <item x="377"/>
        <item x="281"/>
        <item x="6"/>
        <item x="391"/>
        <item x="214"/>
        <item x="353"/>
        <item x="150"/>
        <item x="107"/>
        <item x="190"/>
        <item x="252"/>
        <item x="297"/>
        <item x="288"/>
        <item x="39"/>
        <item x="269"/>
        <item x="130"/>
        <item x="196"/>
        <item x="114"/>
        <item x="59"/>
        <item x="331"/>
        <item x="155"/>
        <item x="187"/>
        <item x="219"/>
        <item x="469"/>
        <item x="433"/>
        <item x="0"/>
        <item x="209"/>
        <item x="262"/>
        <item x="87"/>
        <item x="421"/>
        <item x="184"/>
        <item x="349"/>
        <item x="177"/>
        <item x="337"/>
        <item x="350"/>
        <item x="445"/>
        <item x="352"/>
        <item x="476"/>
        <item x="424"/>
        <item x="414"/>
        <item x="103"/>
        <item x="438"/>
        <item x="273"/>
        <item x="396"/>
        <item x="121"/>
        <item x="180"/>
        <item x="136"/>
        <item x="417"/>
        <item x="131"/>
        <item x="359"/>
        <item x="161"/>
        <item x="264"/>
        <item x="361"/>
        <item x="247"/>
        <item x="246"/>
        <item x="302"/>
        <item x="151"/>
        <item x="259"/>
        <item x="278"/>
        <item x="237"/>
        <item x="327"/>
        <item x="412"/>
        <item x="315"/>
        <item x="386"/>
        <item x="265"/>
        <item x="459"/>
        <item x="167"/>
        <item x="474"/>
        <item x="334"/>
        <item x="285"/>
        <item x="193"/>
        <item x="207"/>
        <item x="53"/>
        <item x="356"/>
        <item x="341"/>
        <item x="260"/>
        <item x="394"/>
        <item x="279"/>
        <item x="120"/>
        <item x="429"/>
        <item x="242"/>
        <item x="408"/>
        <item x="118"/>
        <item x="56"/>
        <item x="32"/>
        <item x="18"/>
        <item x="435"/>
        <item x="152"/>
        <item x="145"/>
        <item x="149"/>
        <item x="99"/>
        <item x="378"/>
        <item x="222"/>
        <item x="322"/>
        <item x="46"/>
        <item x="82"/>
        <item x="232"/>
        <item x="376"/>
        <item x="423"/>
        <item x="290"/>
        <item x="456"/>
        <item x="431"/>
        <item x="93"/>
        <item x="192"/>
        <item x="203"/>
        <item x="365"/>
        <item x="133"/>
        <item x="200"/>
        <item x="400"/>
        <item x="329"/>
        <item x="301"/>
        <item x="299"/>
        <item x="415"/>
        <item x="416"/>
        <item x="208"/>
        <item x="291"/>
        <item x="275"/>
        <item x="122"/>
        <item x="330"/>
        <item x="112"/>
        <item x="468"/>
        <item x="71"/>
        <item x="84"/>
        <item x="165"/>
        <item x="395"/>
        <item x="28"/>
        <item x="25"/>
        <item x="298"/>
        <item x="453"/>
        <item x="311"/>
        <item x="75"/>
        <item x="332"/>
        <item x="239"/>
        <item x="392"/>
        <item x="274"/>
        <item x="78"/>
        <item x="48"/>
        <item x="197"/>
        <item x="31"/>
        <item x="233"/>
        <item x="17"/>
        <item x="326"/>
        <item x="399"/>
        <item x="479"/>
        <item x="27"/>
        <item x="292"/>
        <item x="106"/>
        <item x="434"/>
        <item x="38"/>
        <item x="388"/>
        <item x="153"/>
        <item x="63"/>
        <item t="default"/>
      </items>
      <autoSortScope>
        <pivotArea dataOnly="0" outline="0" fieldPosition="0">
          <references count="1">
            <reference field="4294967294" count="1" selected="0">
              <x v="0"/>
            </reference>
          </references>
        </pivotArea>
      </autoSortScope>
    </pivotField>
    <pivotField dataField="1" showAll="0"/>
    <pivotField showAll="0"/>
    <pivotField numFmtId="10"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 dragToRow="0" dragToCol="0" dragToPage="0" showAll="0" defaultSubtotal="0"/>
  </pivotFields>
  <rowFields count="1">
    <field x="15"/>
  </rowFields>
  <rowItems count="11">
    <i>
      <x v="174"/>
    </i>
    <i>
      <x v="334"/>
    </i>
    <i>
      <x v="68"/>
    </i>
    <i>
      <x v="434"/>
    </i>
    <i>
      <x v="472"/>
    </i>
    <i>
      <x v="402"/>
    </i>
    <i>
      <x v="237"/>
    </i>
    <i>
      <x v="317"/>
    </i>
    <i>
      <x v="469"/>
    </i>
    <i>
      <x v="232"/>
    </i>
    <i t="grand">
      <x/>
    </i>
  </rowItems>
  <colItems count="1">
    <i/>
  </colItems>
  <dataFields count="1">
    <dataField name="Sum of Sales" fld="16" baseField="0" baseItem="0"/>
  </dataFields>
  <formats count="1">
    <format dxfId="4">
      <pivotArea collapsedLevelsAreSubtotals="1" fieldPosition="0">
        <references count="1">
          <reference field="15" count="10">
            <x v="68"/>
            <x v="174"/>
            <x v="232"/>
            <x v="237"/>
            <x v="317"/>
            <x v="334"/>
            <x v="402"/>
            <x v="434"/>
            <x v="469"/>
            <x v="472"/>
          </reference>
        </references>
      </pivotArea>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349725-8F8B-479F-9052-816CC01EFC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4" firstHeaderRow="0" firstDataRow="1" firstDataCol="0"/>
  <pivotFields count="27">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5">
        <item x="0"/>
        <item x="1"/>
        <item x="3"/>
        <item x="2"/>
        <item t="default"/>
      </items>
    </pivotField>
    <pivotField showAll="0"/>
    <pivotField showAll="0"/>
    <pivotField showAll="0">
      <items count="4">
        <item x="2"/>
        <item x="0"/>
        <item x="1"/>
        <item t="default"/>
      </items>
    </pivotField>
    <pivotField showAll="0"/>
    <pivotField showAll="0"/>
    <pivotField showAll="0"/>
    <pivotField showAll="0"/>
    <pivotField showAll="0">
      <items count="5">
        <item x="0"/>
        <item x="1"/>
        <item x="2"/>
        <item x="3"/>
        <item t="default"/>
      </items>
    </pivotField>
    <pivotField showAll="0"/>
    <pivotField showAll="0">
      <items count="4">
        <item x="0"/>
        <item x="2"/>
        <item x="1"/>
        <item t="default"/>
      </items>
    </pivotField>
    <pivotField showAll="0">
      <items count="13">
        <item x="4"/>
        <item x="5"/>
        <item x="7"/>
        <item x="0"/>
        <item x="9"/>
        <item x="10"/>
        <item x="1"/>
        <item x="3"/>
        <item x="6"/>
        <item x="2"/>
        <item x="11"/>
        <item x="8"/>
        <item t="default"/>
      </items>
    </pivotField>
    <pivotField showAll="0"/>
    <pivotField showAll="0"/>
    <pivotField showAll="0"/>
    <pivotField dataField="1"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Sum of Profit %" fld="20" baseField="0" baseItem="0" numFmtId="10"/>
    <dataField name="Average of Discount" fld="18" subtotal="average" baseField="0" baseItem="1" numFmtId="10"/>
  </dataFields>
  <formats count="2">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BB90C6-9D83-4214-85BF-B95108D2470D}" name="Sale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6:K11" firstHeaderRow="1" firstDataRow="1" firstDataCol="1"/>
  <pivotFields count="27">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5">
        <item x="0"/>
        <item x="1"/>
        <item x="3"/>
        <item x="2"/>
        <item t="default"/>
      </items>
    </pivotField>
    <pivotField showAll="0"/>
    <pivotField showAll="0"/>
    <pivotField showAll="0">
      <items count="4">
        <item x="2"/>
        <item x="0"/>
        <item x="1"/>
        <item t="default"/>
      </items>
    </pivotField>
    <pivotField showAll="0"/>
    <pivotField showAll="0"/>
    <pivotField showAll="0"/>
    <pivotField showAll="0"/>
    <pivotField axis="axisRow" showAll="0">
      <items count="5">
        <item x="0"/>
        <item x="1"/>
        <item x="2"/>
        <item x="3"/>
        <item t="default"/>
      </items>
    </pivotField>
    <pivotField showAll="0"/>
    <pivotField showAll="0">
      <items count="4">
        <item x="0"/>
        <item x="2"/>
        <item x="1"/>
        <item t="default"/>
      </items>
    </pivotField>
    <pivotField showAll="0">
      <items count="13">
        <item x="4"/>
        <item x="5"/>
        <item x="7"/>
        <item x="0"/>
        <item x="9"/>
        <item x="10"/>
        <item x="1"/>
        <item x="3"/>
        <item x="6"/>
        <item x="2"/>
        <item x="11"/>
        <item x="8"/>
        <item t="default"/>
      </items>
    </pivotField>
    <pivotField showAll="0"/>
    <pivotField dataField="1" showAll="0"/>
    <pivotField showAll="0"/>
    <pivotField numFmtId="10"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 dragToRow="0" dragToCol="0" dragToPage="0" showAll="0" defaultSubtotal="0"/>
  </pivotFields>
  <rowFields count="1">
    <field x="11"/>
  </rowFields>
  <rowItems count="5">
    <i>
      <x/>
    </i>
    <i>
      <x v="1"/>
    </i>
    <i>
      <x v="2"/>
    </i>
    <i>
      <x v="3"/>
    </i>
    <i t="grand">
      <x/>
    </i>
  </rowItems>
  <colItems count="1">
    <i/>
  </colItems>
  <dataFields count="1">
    <dataField name="Sum of Sales" fld="16" baseField="0"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1" count="1" selected="0">
            <x v="0"/>
          </reference>
        </references>
      </pivotArea>
    </chartFormat>
    <chartFormat chart="7" format="8">
      <pivotArea type="data" outline="0" fieldPosition="0">
        <references count="2">
          <reference field="4294967294" count="1" selected="0">
            <x v="0"/>
          </reference>
          <reference field="11" count="1" selected="0">
            <x v="1"/>
          </reference>
        </references>
      </pivotArea>
    </chartFormat>
    <chartFormat chart="7" format="9">
      <pivotArea type="data" outline="0" fieldPosition="0">
        <references count="2">
          <reference field="4294967294" count="1" selected="0">
            <x v="0"/>
          </reference>
          <reference field="11" count="1" selected="0">
            <x v="2"/>
          </reference>
        </references>
      </pivotArea>
    </chartFormat>
    <chartFormat chart="7"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22EEF9-A70F-4CD2-94AC-22ECDE8B7B2F}"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A3:D4" firstHeaderRow="0" firstDataRow="1" firstDataCol="0"/>
  <pivotFields count="27">
    <pivotField dataField="1"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5">
        <item x="0"/>
        <item x="1"/>
        <item x="3"/>
        <item x="2"/>
        <item t="default"/>
      </items>
    </pivotField>
    <pivotField showAll="0"/>
    <pivotField showAll="0"/>
    <pivotField showAll="0">
      <items count="4">
        <item x="2"/>
        <item x="0"/>
        <item x="1"/>
        <item t="default"/>
      </items>
    </pivotField>
    <pivotField showAll="0"/>
    <pivotField showAll="0"/>
    <pivotField showAll="0"/>
    <pivotField showAll="0"/>
    <pivotField showAll="0">
      <items count="5">
        <item x="0"/>
        <item x="1"/>
        <item x="2"/>
        <item x="3"/>
        <item t="default"/>
      </items>
    </pivotField>
    <pivotField showAll="0"/>
    <pivotField showAll="0">
      <items count="4">
        <item x="0"/>
        <item x="2"/>
        <item x="1"/>
        <item t="default"/>
      </items>
    </pivotField>
    <pivotField showAll="0">
      <items count="13">
        <item x="4"/>
        <item x="5"/>
        <item x="7"/>
        <item x="0"/>
        <item x="9"/>
        <item x="10"/>
        <item x="1"/>
        <item x="3"/>
        <item x="6"/>
        <item x="2"/>
        <item x="11"/>
        <item x="8"/>
        <item t="default"/>
      </items>
    </pivotField>
    <pivotField showAll="0"/>
    <pivotField dataField="1" showAll="0"/>
    <pivotField dataField="1"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4">
    <i>
      <x/>
    </i>
    <i i="1">
      <x v="1"/>
    </i>
    <i i="2">
      <x v="2"/>
    </i>
    <i i="3">
      <x v="3"/>
    </i>
  </colItems>
  <dataFields count="4">
    <dataField name="Sum of Sales" fld="16" baseField="0" baseItem="0"/>
    <dataField name="Sum of Profit" fld="19" baseField="0" baseItem="0"/>
    <dataField name="Sum of Quantity" fld="17" baseField="0" baseItem="0"/>
    <dataField name="Count of Order ID"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78F5BF-86B9-4C06-AE9A-30A1EA50F96F}" name="Sales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D6:E10" firstHeaderRow="1" firstDataRow="1" firstDataCol="1"/>
  <pivotFields count="27">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5">
        <item x="0"/>
        <item x="1"/>
        <item x="3"/>
        <item x="2"/>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axis="axisRow" showAll="0">
      <items count="4">
        <item x="0"/>
        <item x="2"/>
        <item x="1"/>
        <item t="default"/>
      </items>
    </pivotField>
    <pivotField showAll="0">
      <items count="13">
        <item x="4"/>
        <item x="5"/>
        <item x="7"/>
        <item x="0"/>
        <item x="9"/>
        <item x="10"/>
        <item x="1"/>
        <item x="3"/>
        <item x="6"/>
        <item x="2"/>
        <item x="11"/>
        <item x="8"/>
        <item t="default"/>
      </items>
    </pivotField>
    <pivotField showAll="0"/>
    <pivotField dataField="1" showAll="0"/>
    <pivotField showAll="0"/>
    <pivotField numFmtId="10" showAll="0"/>
    <pivotField showAl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 dragToRow="0" dragToCol="0" dragToPage="0" showAll="0" defaultSubtotal="0"/>
  </pivotFields>
  <rowFields count="1">
    <field x="13"/>
  </rowFields>
  <rowItems count="4">
    <i>
      <x/>
    </i>
    <i>
      <x v="1"/>
    </i>
    <i>
      <x v="2"/>
    </i>
    <i t="grand">
      <x/>
    </i>
  </rowItems>
  <colItems count="1">
    <i/>
  </colItems>
  <dataFields count="1">
    <dataField name="Sum of Sales" fld="16" baseField="0" baseItem="0"/>
  </dataFields>
  <chartFormats count="4">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13" count="1" selected="0">
            <x v="1"/>
          </reference>
        </references>
      </pivotArea>
    </chartFormat>
    <chartFormat chart="36" format="4">
      <pivotArea type="data" outline="0" fieldPosition="0">
        <references count="2">
          <reference field="4294967294" count="1" selected="0">
            <x v="0"/>
          </reference>
          <reference field="13" count="1" selected="0">
            <x v="0"/>
          </reference>
        </references>
      </pivotArea>
    </chartFormat>
    <chartFormat chart="36" format="5">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A2BCD3-6C03-4CA1-B6D4-ED70E6DE13E5}" name="Sales Trend Over 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9">
  <location ref="A6:B19" firstHeaderRow="1" firstDataRow="1" firstDataCol="1"/>
  <pivotFields count="27">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001">
        <item x="0"/>
        <item x="1"/>
        <item x="4"/>
        <item x="2"/>
        <item x="3"/>
        <item x="6"/>
        <item x="8"/>
        <item x="7"/>
        <item x="5"/>
        <item x="9"/>
        <item x="13"/>
        <item x="10"/>
        <item x="11"/>
        <item x="12"/>
        <item x="14"/>
        <item x="17"/>
        <item x="15"/>
        <item x="16"/>
        <item x="19"/>
        <item x="20"/>
        <item x="22"/>
        <item x="18"/>
        <item x="21"/>
        <item x="23"/>
        <item x="26"/>
        <item x="24"/>
        <item x="25"/>
        <item x="27"/>
        <item x="28"/>
        <item x="29"/>
        <item x="30"/>
        <item x="31"/>
        <item x="32"/>
        <item x="35"/>
        <item x="33"/>
        <item x="34"/>
        <item x="36"/>
        <item x="37"/>
        <item x="38"/>
        <item x="40"/>
        <item x="39"/>
        <item x="42"/>
        <item x="45"/>
        <item x="41"/>
        <item x="43"/>
        <item x="44"/>
        <item x="46"/>
        <item x="47"/>
        <item x="48"/>
        <item x="51"/>
        <item x="49"/>
        <item x="50"/>
        <item x="52"/>
        <item x="53"/>
        <item x="55"/>
        <item x="54"/>
        <item x="56"/>
        <item x="60"/>
        <item x="58"/>
        <item x="61"/>
        <item x="57"/>
        <item x="59"/>
        <item x="63"/>
        <item x="62"/>
        <item x="65"/>
        <item x="64"/>
        <item x="67"/>
        <item x="66"/>
        <item x="68"/>
        <item x="70"/>
        <item x="71"/>
        <item x="69"/>
        <item x="74"/>
        <item x="72"/>
        <item x="73"/>
        <item x="75"/>
        <item x="77"/>
        <item x="76"/>
        <item x="78"/>
        <item x="79"/>
        <item x="82"/>
        <item x="81"/>
        <item x="84"/>
        <item x="80"/>
        <item x="83"/>
        <item x="86"/>
        <item x="85"/>
        <item x="89"/>
        <item x="87"/>
        <item x="88"/>
        <item x="90"/>
        <item x="91"/>
        <item x="94"/>
        <item x="95"/>
        <item x="92"/>
        <item x="97"/>
        <item x="93"/>
        <item x="96"/>
        <item x="98"/>
        <item x="99"/>
        <item x="102"/>
        <item x="103"/>
        <item x="104"/>
        <item x="100"/>
        <item x="101"/>
        <item x="106"/>
        <item x="105"/>
        <item x="108"/>
        <item x="109"/>
        <item x="107"/>
        <item x="111"/>
        <item x="112"/>
        <item x="114"/>
        <item x="110"/>
        <item x="113"/>
        <item x="118"/>
        <item x="115"/>
        <item x="119"/>
        <item x="120"/>
        <item x="116"/>
        <item x="117"/>
        <item x="121"/>
        <item x="122"/>
        <item x="125"/>
        <item x="123"/>
        <item x="124"/>
        <item x="126"/>
        <item x="130"/>
        <item x="127"/>
        <item x="128"/>
        <item x="131"/>
        <item x="129"/>
        <item x="132"/>
        <item x="133"/>
        <item x="136"/>
        <item x="134"/>
        <item x="137"/>
        <item x="135"/>
        <item x="139"/>
        <item x="138"/>
        <item x="142"/>
        <item x="140"/>
        <item x="144"/>
        <item x="141"/>
        <item x="143"/>
        <item x="145"/>
        <item x="150"/>
        <item x="146"/>
        <item x="148"/>
        <item x="147"/>
        <item x="151"/>
        <item x="149"/>
        <item x="153"/>
        <item x="152"/>
        <item x="154"/>
        <item x="155"/>
        <item x="157"/>
        <item x="156"/>
        <item x="161"/>
        <item x="158"/>
        <item x="159"/>
        <item x="160"/>
        <item x="164"/>
        <item x="163"/>
        <item x="162"/>
        <item x="165"/>
        <item x="166"/>
        <item x="169"/>
        <item x="167"/>
        <item x="168"/>
        <item x="173"/>
        <item x="170"/>
        <item x="172"/>
        <item x="171"/>
        <item x="175"/>
        <item x="174"/>
        <item x="177"/>
        <item x="176"/>
        <item x="179"/>
        <item x="178"/>
        <item x="180"/>
        <item x="181"/>
        <item x="182"/>
        <item x="183"/>
        <item x="185"/>
        <item x="184"/>
        <item x="187"/>
        <item x="186"/>
        <item x="190"/>
        <item x="189"/>
        <item x="188"/>
        <item x="192"/>
        <item x="191"/>
        <item x="193"/>
        <item x="194"/>
        <item x="197"/>
        <item x="195"/>
        <item x="196"/>
        <item x="200"/>
        <item x="198"/>
        <item x="199"/>
        <item x="201"/>
        <item x="202"/>
        <item x="203"/>
        <item x="205"/>
        <item x="204"/>
        <item x="207"/>
        <item x="206"/>
        <item x="209"/>
        <item x="210"/>
        <item x="208"/>
        <item x="212"/>
        <item x="211"/>
        <item x="215"/>
        <item x="213"/>
        <item x="214"/>
        <item x="216"/>
        <item x="217"/>
        <item x="219"/>
        <item x="222"/>
        <item x="218"/>
        <item x="221"/>
        <item x="224"/>
        <item x="220"/>
        <item x="223"/>
        <item x="225"/>
        <item x="226"/>
        <item x="227"/>
        <item x="231"/>
        <item x="229"/>
        <item x="228"/>
        <item x="230"/>
        <item x="232"/>
        <item x="236"/>
        <item x="233"/>
        <item x="238"/>
        <item x="234"/>
        <item x="237"/>
        <item x="235"/>
        <item x="239"/>
        <item x="240"/>
        <item x="241"/>
        <item x="242"/>
        <item x="244"/>
        <item x="243"/>
        <item x="245"/>
        <item x="246"/>
        <item x="247"/>
        <item x="249"/>
        <item x="248"/>
        <item x="250"/>
        <item x="251"/>
        <item x="252"/>
        <item x="254"/>
        <item x="253"/>
        <item x="255"/>
        <item x="258"/>
        <item x="257"/>
        <item x="256"/>
        <item x="259"/>
        <item x="262"/>
        <item x="260"/>
        <item x="261"/>
        <item x="263"/>
        <item x="264"/>
        <item x="266"/>
        <item x="267"/>
        <item x="268"/>
        <item x="265"/>
        <item x="269"/>
        <item x="271"/>
        <item x="272"/>
        <item x="270"/>
        <item x="273"/>
        <item x="274"/>
        <item x="275"/>
        <item x="277"/>
        <item x="276"/>
        <item x="279"/>
        <item x="280"/>
        <item x="278"/>
        <item x="281"/>
        <item x="282"/>
        <item x="284"/>
        <item x="283"/>
        <item x="285"/>
        <item x="287"/>
        <item x="288"/>
        <item x="286"/>
        <item x="290"/>
        <item x="291"/>
        <item x="289"/>
        <item x="292"/>
        <item x="293"/>
        <item x="296"/>
        <item x="294"/>
        <item x="295"/>
        <item x="300"/>
        <item x="298"/>
        <item x="299"/>
        <item x="297"/>
        <item x="302"/>
        <item x="301"/>
        <item x="303"/>
        <item x="305"/>
        <item x="304"/>
        <item x="307"/>
        <item x="310"/>
        <item x="306"/>
        <item x="309"/>
        <item x="308"/>
        <item x="311"/>
        <item x="312"/>
        <item x="313"/>
        <item x="316"/>
        <item x="318"/>
        <item x="314"/>
        <item x="315"/>
        <item x="317"/>
        <item x="320"/>
        <item x="319"/>
        <item x="322"/>
        <item x="321"/>
        <item x="323"/>
        <item x="325"/>
        <item x="326"/>
        <item x="324"/>
        <item x="327"/>
        <item x="330"/>
        <item x="328"/>
        <item x="329"/>
        <item x="331"/>
        <item x="332"/>
        <item x="333"/>
        <item x="336"/>
        <item x="337"/>
        <item x="334"/>
        <item x="335"/>
        <item x="339"/>
        <item x="340"/>
        <item x="338"/>
        <item x="341"/>
        <item x="342"/>
        <item x="344"/>
        <item x="345"/>
        <item x="343"/>
        <item x="347"/>
        <item x="349"/>
        <item x="346"/>
        <item x="350"/>
        <item x="348"/>
        <item x="352"/>
        <item x="351"/>
        <item x="353"/>
        <item x="356"/>
        <item x="354"/>
        <item x="355"/>
        <item x="357"/>
        <item x="361"/>
        <item x="358"/>
        <item x="363"/>
        <item x="359"/>
        <item x="360"/>
        <item x="362"/>
        <item x="364"/>
        <item x="368"/>
        <item x="365"/>
        <item x="369"/>
        <item x="366"/>
        <item x="367"/>
        <item x="372"/>
        <item x="370"/>
        <item x="371"/>
        <item x="374"/>
        <item x="375"/>
        <item x="377"/>
        <item x="373"/>
        <item x="380"/>
        <item x="376"/>
        <item x="378"/>
        <item x="379"/>
        <item x="381"/>
        <item x="382"/>
        <item x="383"/>
        <item x="384"/>
        <item x="385"/>
        <item x="388"/>
        <item x="389"/>
        <item x="386"/>
        <item x="387"/>
        <item x="390"/>
        <item x="392"/>
        <item x="394"/>
        <item x="391"/>
        <item x="393"/>
        <item x="398"/>
        <item x="397"/>
        <item x="399"/>
        <item x="395"/>
        <item x="396"/>
        <item x="401"/>
        <item x="403"/>
        <item x="404"/>
        <item x="400"/>
        <item x="402"/>
        <item x="405"/>
        <item x="408"/>
        <item x="406"/>
        <item x="407"/>
        <item x="409"/>
        <item x="412"/>
        <item x="410"/>
        <item x="411"/>
        <item x="413"/>
        <item x="414"/>
        <item x="416"/>
        <item x="415"/>
        <item x="417"/>
        <item x="421"/>
        <item x="418"/>
        <item x="420"/>
        <item x="419"/>
        <item x="424"/>
        <item x="425"/>
        <item x="426"/>
        <item x="422"/>
        <item x="423"/>
        <item x="428"/>
        <item x="427"/>
        <item x="433"/>
        <item x="429"/>
        <item x="430"/>
        <item x="434"/>
        <item x="431"/>
        <item x="436"/>
        <item x="432"/>
        <item x="435"/>
        <item x="437"/>
        <item x="438"/>
        <item x="440"/>
        <item x="441"/>
        <item x="442"/>
        <item x="439"/>
        <item x="443"/>
        <item x="444"/>
        <item x="446"/>
        <item x="447"/>
        <item x="448"/>
        <item x="445"/>
        <item x="449"/>
        <item x="451"/>
        <item x="450"/>
        <item x="452"/>
        <item x="454"/>
        <item x="453"/>
        <item x="457"/>
        <item x="455"/>
        <item x="456"/>
        <item x="458"/>
        <item x="459"/>
        <item x="462"/>
        <item x="460"/>
        <item x="463"/>
        <item x="461"/>
        <item x="466"/>
        <item x="464"/>
        <item x="465"/>
        <item x="468"/>
        <item x="467"/>
        <item x="470"/>
        <item x="471"/>
        <item x="469"/>
        <item x="472"/>
        <item x="475"/>
        <item x="473"/>
        <item x="476"/>
        <item x="474"/>
        <item x="479"/>
        <item x="478"/>
        <item x="477"/>
        <item x="482"/>
        <item x="480"/>
        <item x="483"/>
        <item x="481"/>
        <item x="485"/>
        <item x="487"/>
        <item x="484"/>
        <item x="488"/>
        <item x="486"/>
        <item x="491"/>
        <item x="489"/>
        <item x="492"/>
        <item x="493"/>
        <item x="494"/>
        <item x="490"/>
        <item x="495"/>
        <item x="496"/>
        <item x="497"/>
        <item x="498"/>
        <item x="499"/>
        <item x="500"/>
        <item x="503"/>
        <item x="502"/>
        <item x="504"/>
        <item x="501"/>
        <item x="505"/>
        <item x="506"/>
        <item x="507"/>
        <item x="509"/>
        <item x="508"/>
        <item x="510"/>
        <item x="512"/>
        <item x="511"/>
        <item x="513"/>
        <item x="515"/>
        <item x="518"/>
        <item x="514"/>
        <item x="517"/>
        <item x="516"/>
        <item x="519"/>
        <item x="521"/>
        <item x="520"/>
        <item x="522"/>
        <item x="523"/>
        <item x="524"/>
        <item x="525"/>
        <item x="526"/>
        <item x="527"/>
        <item x="529"/>
        <item x="528"/>
        <item x="532"/>
        <item x="531"/>
        <item x="530"/>
        <item x="533"/>
        <item x="534"/>
        <item x="537"/>
        <item x="535"/>
        <item x="536"/>
        <item x="540"/>
        <item x="538"/>
        <item x="541"/>
        <item x="539"/>
        <item x="542"/>
        <item x="543"/>
        <item x="546"/>
        <item x="544"/>
        <item x="545"/>
        <item x="547"/>
        <item x="548"/>
        <item x="550"/>
        <item x="549"/>
        <item x="552"/>
        <item x="551"/>
        <item x="553"/>
        <item x="557"/>
        <item x="554"/>
        <item x="556"/>
        <item x="555"/>
        <item x="561"/>
        <item x="558"/>
        <item x="559"/>
        <item x="560"/>
        <item x="564"/>
        <item x="565"/>
        <item x="562"/>
        <item x="563"/>
        <item x="567"/>
        <item x="566"/>
        <item x="568"/>
        <item x="569"/>
        <item x="573"/>
        <item x="570"/>
        <item x="574"/>
        <item x="571"/>
        <item x="572"/>
        <item x="576"/>
        <item x="575"/>
        <item x="579"/>
        <item x="577"/>
        <item x="578"/>
        <item x="581"/>
        <item x="580"/>
        <item x="585"/>
        <item x="582"/>
        <item x="583"/>
        <item x="588"/>
        <item x="584"/>
        <item x="587"/>
        <item x="589"/>
        <item x="590"/>
        <item x="586"/>
        <item x="592"/>
        <item x="594"/>
        <item x="591"/>
        <item x="596"/>
        <item x="597"/>
        <item x="593"/>
        <item x="598"/>
        <item x="595"/>
        <item x="600"/>
        <item x="601"/>
        <item x="599"/>
        <item x="604"/>
        <item x="605"/>
        <item x="602"/>
        <item x="606"/>
        <item x="603"/>
        <item x="607"/>
        <item x="610"/>
        <item x="608"/>
        <item x="611"/>
        <item x="609"/>
        <item x="612"/>
        <item x="613"/>
        <item x="614"/>
        <item x="617"/>
        <item x="615"/>
        <item x="616"/>
        <item x="619"/>
        <item x="618"/>
        <item x="621"/>
        <item x="620"/>
        <item x="623"/>
        <item x="624"/>
        <item x="622"/>
        <item x="626"/>
        <item x="627"/>
        <item x="628"/>
        <item x="625"/>
        <item x="631"/>
        <item x="629"/>
        <item x="630"/>
        <item x="632"/>
        <item x="633"/>
        <item x="636"/>
        <item x="634"/>
        <item x="635"/>
        <item x="637"/>
        <item x="638"/>
        <item x="639"/>
        <item x="640"/>
        <item x="641"/>
        <item x="642"/>
        <item x="643"/>
        <item x="644"/>
        <item x="646"/>
        <item x="645"/>
        <item x="647"/>
        <item x="649"/>
        <item x="648"/>
        <item x="651"/>
        <item x="650"/>
        <item x="653"/>
        <item x="654"/>
        <item x="652"/>
        <item x="655"/>
        <item x="656"/>
        <item x="657"/>
        <item x="661"/>
        <item x="659"/>
        <item x="658"/>
        <item x="663"/>
        <item x="660"/>
        <item x="662"/>
        <item x="665"/>
        <item x="667"/>
        <item x="664"/>
        <item x="666"/>
        <item x="670"/>
        <item x="668"/>
        <item x="671"/>
        <item x="672"/>
        <item x="669"/>
        <item x="673"/>
        <item x="674"/>
        <item x="678"/>
        <item x="675"/>
        <item x="680"/>
        <item x="676"/>
        <item x="679"/>
        <item x="677"/>
        <item x="681"/>
        <item x="682"/>
        <item x="683"/>
        <item x="684"/>
        <item x="685"/>
        <item x="687"/>
        <item x="686"/>
        <item x="689"/>
        <item x="688"/>
        <item x="690"/>
        <item x="695"/>
        <item x="691"/>
        <item x="692"/>
        <item x="693"/>
        <item x="694"/>
        <item x="696"/>
        <item x="697"/>
        <item x="698"/>
        <item x="699"/>
        <item x="700"/>
        <item x="701"/>
        <item x="702"/>
        <item x="705"/>
        <item x="703"/>
        <item x="704"/>
        <item x="707"/>
        <item x="706"/>
        <item x="709"/>
        <item x="708"/>
        <item x="710"/>
        <item x="711"/>
        <item x="712"/>
        <item x="714"/>
        <item x="716"/>
        <item x="713"/>
        <item x="715"/>
        <item x="717"/>
        <item x="718"/>
        <item x="720"/>
        <item x="721"/>
        <item x="719"/>
        <item x="722"/>
        <item x="725"/>
        <item x="724"/>
        <item x="726"/>
        <item x="723"/>
        <item x="727"/>
        <item x="728"/>
        <item x="729"/>
        <item x="730"/>
        <item x="734"/>
        <item x="731"/>
        <item x="733"/>
        <item x="735"/>
        <item x="732"/>
        <item x="737"/>
        <item x="736"/>
        <item x="740"/>
        <item x="739"/>
        <item x="738"/>
        <item x="741"/>
        <item x="743"/>
        <item x="744"/>
        <item x="745"/>
        <item x="742"/>
        <item x="748"/>
        <item x="746"/>
        <item x="747"/>
        <item x="749"/>
        <item x="752"/>
        <item x="753"/>
        <item x="750"/>
        <item x="751"/>
        <item x="754"/>
        <item x="755"/>
        <item x="758"/>
        <item x="757"/>
        <item x="756"/>
        <item x="759"/>
        <item x="762"/>
        <item x="761"/>
        <item x="764"/>
        <item x="760"/>
        <item x="765"/>
        <item x="766"/>
        <item x="763"/>
        <item x="767"/>
        <item x="768"/>
        <item x="770"/>
        <item x="769"/>
        <item x="773"/>
        <item x="771"/>
        <item x="774"/>
        <item x="775"/>
        <item x="772"/>
        <item x="776"/>
        <item x="777"/>
        <item x="778"/>
        <item x="779"/>
        <item x="780"/>
        <item x="782"/>
        <item x="784"/>
        <item x="781"/>
        <item x="783"/>
        <item x="785"/>
        <item x="786"/>
        <item x="787"/>
        <item x="788"/>
        <item x="789"/>
        <item x="791"/>
        <item x="793"/>
        <item x="790"/>
        <item x="792"/>
        <item x="796"/>
        <item x="794"/>
        <item x="795"/>
        <item x="797"/>
        <item x="798"/>
        <item x="799"/>
        <item x="800"/>
        <item x="801"/>
        <item x="802"/>
        <item x="803"/>
        <item x="805"/>
        <item x="806"/>
        <item x="804"/>
        <item x="807"/>
        <item x="808"/>
        <item x="809"/>
        <item x="811"/>
        <item x="810"/>
        <item x="812"/>
        <item x="813"/>
        <item x="814"/>
        <item x="815"/>
        <item x="816"/>
        <item x="818"/>
        <item x="817"/>
        <item x="820"/>
        <item x="822"/>
        <item x="819"/>
        <item x="823"/>
        <item x="821"/>
        <item x="826"/>
        <item x="827"/>
        <item x="824"/>
        <item x="825"/>
        <item x="828"/>
        <item x="829"/>
        <item x="830"/>
        <item x="831"/>
        <item x="832"/>
        <item x="833"/>
        <item x="834"/>
        <item x="835"/>
        <item x="837"/>
        <item x="836"/>
        <item x="838"/>
        <item x="839"/>
        <item x="842"/>
        <item x="840"/>
        <item x="844"/>
        <item x="841"/>
        <item x="843"/>
        <item x="845"/>
        <item x="846"/>
        <item x="847"/>
        <item x="848"/>
        <item x="851"/>
        <item x="849"/>
        <item x="850"/>
        <item x="853"/>
        <item x="852"/>
        <item x="854"/>
        <item x="856"/>
        <item x="857"/>
        <item x="855"/>
        <item x="859"/>
        <item x="860"/>
        <item x="861"/>
        <item x="858"/>
        <item x="864"/>
        <item x="862"/>
        <item x="863"/>
        <item x="866"/>
        <item x="865"/>
        <item x="867"/>
        <item x="869"/>
        <item x="868"/>
        <item x="870"/>
        <item x="871"/>
        <item x="874"/>
        <item x="872"/>
        <item x="873"/>
        <item x="875"/>
        <item x="876"/>
        <item x="877"/>
        <item x="878"/>
        <item x="879"/>
        <item x="880"/>
        <item x="882"/>
        <item x="883"/>
        <item x="881"/>
        <item x="884"/>
        <item x="886"/>
        <item x="887"/>
        <item x="885"/>
        <item x="890"/>
        <item x="888"/>
        <item x="891"/>
        <item x="889"/>
        <item x="892"/>
        <item x="895"/>
        <item x="893"/>
        <item x="894"/>
        <item x="896"/>
        <item x="897"/>
        <item x="898"/>
        <item x="899"/>
        <item x="901"/>
        <item x="900"/>
        <item x="902"/>
        <item x="905"/>
        <item x="906"/>
        <item x="903"/>
        <item x="904"/>
        <item x="907"/>
        <item x="910"/>
        <item x="908"/>
        <item x="909"/>
        <item x="911"/>
        <item x="913"/>
        <item x="914"/>
        <item x="916"/>
        <item x="912"/>
        <item x="919"/>
        <item x="915"/>
        <item x="918"/>
        <item x="917"/>
        <item x="920"/>
        <item x="921"/>
        <item x="923"/>
        <item x="925"/>
        <item x="922"/>
        <item x="924"/>
        <item x="928"/>
        <item x="926"/>
        <item x="927"/>
        <item x="929"/>
        <item x="930"/>
        <item x="934"/>
        <item x="931"/>
        <item x="932"/>
        <item x="933"/>
        <item x="935"/>
        <item x="936"/>
        <item x="938"/>
        <item x="939"/>
        <item x="937"/>
        <item x="941"/>
        <item x="943"/>
        <item x="940"/>
        <item x="945"/>
        <item x="942"/>
        <item x="944"/>
        <item x="946"/>
        <item x="949"/>
        <item x="947"/>
        <item x="950"/>
        <item x="951"/>
        <item x="948"/>
        <item x="953"/>
        <item x="954"/>
        <item x="952"/>
        <item x="955"/>
        <item x="957"/>
        <item x="956"/>
        <item x="959"/>
        <item x="958"/>
        <item x="962"/>
        <item x="960"/>
        <item x="961"/>
        <item x="963"/>
        <item x="964"/>
        <item x="967"/>
        <item x="965"/>
        <item x="968"/>
        <item x="966"/>
        <item x="971"/>
        <item x="970"/>
        <item x="972"/>
        <item x="969"/>
        <item x="976"/>
        <item x="973"/>
        <item x="974"/>
        <item x="975"/>
        <item x="977"/>
        <item x="981"/>
        <item x="978"/>
        <item x="979"/>
        <item x="982"/>
        <item x="984"/>
        <item x="980"/>
        <item x="983"/>
        <item x="986"/>
        <item x="985"/>
        <item x="988"/>
        <item x="987"/>
        <item x="991"/>
        <item x="990"/>
        <item x="989"/>
        <item x="992"/>
        <item x="994"/>
        <item x="995"/>
        <item x="996"/>
        <item x="993"/>
        <item x="998"/>
        <item x="997"/>
        <item x="999"/>
        <item t="default"/>
      </items>
    </pivotField>
    <pivotField showAll="0">
      <items count="5">
        <item x="0"/>
        <item x="1"/>
        <item x="3"/>
        <item x="2"/>
        <item t="default"/>
      </items>
    </pivotField>
    <pivotField showAll="0"/>
    <pivotField showAll="0"/>
    <pivotField showAll="0">
      <items count="4">
        <item x="2"/>
        <item x="0"/>
        <item x="1"/>
        <item t="default"/>
      </items>
    </pivotField>
    <pivotField showAll="0"/>
    <pivotField showAll="0"/>
    <pivotField showAll="0"/>
    <pivotField showAll="0"/>
    <pivotField showAll="0">
      <items count="5">
        <item x="0"/>
        <item x="1"/>
        <item x="2"/>
        <item x="3"/>
        <item t="default"/>
      </items>
    </pivotField>
    <pivotField showAll="0"/>
    <pivotField showAll="0">
      <items count="4">
        <item x="0"/>
        <item x="2"/>
        <item x="1"/>
        <item t="default"/>
      </items>
    </pivotField>
    <pivotField showAll="0">
      <items count="13">
        <item x="4"/>
        <item x="5"/>
        <item x="7"/>
        <item x="0"/>
        <item x="9"/>
        <item x="10"/>
        <item x="1"/>
        <item x="3"/>
        <item x="6"/>
        <item x="2"/>
        <item x="11"/>
        <item x="8"/>
        <item t="default"/>
      </items>
    </pivotField>
    <pivotField showAll="0"/>
    <pivotField dataField="1" showAll="0">
      <items count="1000">
        <item x="264"/>
        <item x="309"/>
        <item x="416"/>
        <item x="634"/>
        <item x="189"/>
        <item x="423"/>
        <item x="375"/>
        <item x="580"/>
        <item x="431"/>
        <item x="884"/>
        <item x="363"/>
        <item x="344"/>
        <item x="384"/>
        <item x="315"/>
        <item x="647"/>
        <item x="706"/>
        <item x="362"/>
        <item x="780"/>
        <item x="133"/>
        <item x="500"/>
        <item x="392"/>
        <item x="807"/>
        <item x="286"/>
        <item x="770"/>
        <item x="965"/>
        <item x="127"/>
        <item x="679"/>
        <item x="231"/>
        <item x="969"/>
        <item x="292"/>
        <item x="621"/>
        <item x="97"/>
        <item x="182"/>
        <item x="357"/>
        <item x="494"/>
        <item x="799"/>
        <item x="10"/>
        <item x="779"/>
        <item x="766"/>
        <item x="604"/>
        <item x="555"/>
        <item x="193"/>
        <item x="440"/>
        <item x="388"/>
        <item x="581"/>
        <item x="828"/>
        <item x="253"/>
        <item x="588"/>
        <item x="556"/>
        <item x="422"/>
        <item x="741"/>
        <item x="73"/>
        <item x="263"/>
        <item x="511"/>
        <item x="94"/>
        <item x="249"/>
        <item x="259"/>
        <item x="813"/>
        <item x="415"/>
        <item x="211"/>
        <item x="629"/>
        <item x="614"/>
        <item x="897"/>
        <item x="542"/>
        <item x="390"/>
        <item x="33"/>
        <item x="933"/>
        <item x="782"/>
        <item x="78"/>
        <item x="521"/>
        <item x="215"/>
        <item x="313"/>
        <item x="978"/>
        <item x="150"/>
        <item x="141"/>
        <item x="810"/>
        <item x="537"/>
        <item x="86"/>
        <item x="959"/>
        <item x="333"/>
        <item x="67"/>
        <item x="396"/>
        <item x="509"/>
        <item x="207"/>
        <item x="491"/>
        <item x="669"/>
        <item x="534"/>
        <item x="104"/>
        <item x="370"/>
        <item x="819"/>
        <item x="376"/>
        <item x="134"/>
        <item x="250"/>
        <item x="291"/>
        <item x="18"/>
        <item x="902"/>
        <item x="757"/>
        <item x="939"/>
        <item x="407"/>
        <item x="208"/>
        <item x="689"/>
        <item x="87"/>
        <item x="859"/>
        <item x="7"/>
        <item x="701"/>
        <item x="347"/>
        <item x="322"/>
        <item x="466"/>
        <item x="566"/>
        <item x="982"/>
        <item x="428"/>
        <item x="559"/>
        <item x="132"/>
        <item x="764"/>
        <item x="570"/>
        <item x="71"/>
        <item x="282"/>
        <item x="571"/>
        <item x="931"/>
        <item x="676"/>
        <item x="698"/>
        <item x="206"/>
        <item x="420"/>
        <item x="149"/>
        <item x="995"/>
        <item x="531"/>
        <item x="9"/>
        <item x="284"/>
        <item x="572"/>
        <item x="808"/>
        <item x="160"/>
        <item x="122"/>
        <item x="637"/>
        <item x="553"/>
        <item x="374"/>
        <item x="798"/>
        <item x="627"/>
        <item x="212"/>
        <item x="530"/>
        <item x="501"/>
        <item x="970"/>
        <item x="371"/>
        <item x="437"/>
        <item x="618"/>
        <item x="144"/>
        <item x="142"/>
        <item x="228"/>
        <item x="756"/>
        <item x="108"/>
        <item x="901"/>
        <item x="441"/>
        <item x="467"/>
        <item x="980"/>
        <item x="346"/>
        <item x="685"/>
        <item x="406"/>
        <item x="400"/>
        <item x="877"/>
        <item x="455"/>
        <item x="738"/>
        <item x="850"/>
        <item x="862"/>
        <item x="591"/>
        <item x="327"/>
        <item x="425"/>
        <item x="957"/>
        <item x="302"/>
        <item x="418"/>
        <item x="240"/>
        <item x="398"/>
        <item x="458"/>
        <item x="564"/>
        <item x="949"/>
        <item x="59"/>
        <item x="817"/>
        <item x="294"/>
        <item x="911"/>
        <item x="117"/>
        <item x="39"/>
        <item x="847"/>
        <item x="419"/>
        <item x="772"/>
        <item x="891"/>
        <item x="844"/>
        <item x="803"/>
        <item x="548"/>
        <item x="951"/>
        <item x="492"/>
        <item x="863"/>
        <item x="279"/>
        <item x="223"/>
        <item x="786"/>
        <item x="836"/>
        <item x="656"/>
        <item x="13"/>
        <item x="271"/>
        <item x="93"/>
        <item x="53"/>
        <item x="948"/>
        <item x="908"/>
        <item x="225"/>
        <item x="594"/>
        <item x="62"/>
        <item x="445"/>
        <item x="800"/>
        <item x="380"/>
        <item x="557"/>
        <item x="42"/>
        <item x="811"/>
        <item x="226"/>
        <item x="730"/>
        <item x="155"/>
        <item x="209"/>
        <item x="224"/>
        <item x="306"/>
        <item x="839"/>
        <item x="668"/>
        <item x="802"/>
        <item x="109"/>
        <item x="952"/>
        <item x="746"/>
        <item x="335"/>
        <item x="916"/>
        <item x="75"/>
        <item x="310"/>
        <item x="524"/>
        <item x="204"/>
        <item x="778"/>
        <item x="0"/>
        <item x="663"/>
        <item x="960"/>
        <item x="316"/>
        <item x="464"/>
        <item x="749"/>
        <item x="876"/>
        <item x="37"/>
        <item x="214"/>
        <item x="280"/>
        <item x="173"/>
        <item x="968"/>
        <item x="928"/>
        <item x="796"/>
        <item x="522"/>
        <item x="354"/>
        <item x="707"/>
        <item x="192"/>
        <item x="35"/>
        <item x="345"/>
        <item x="301"/>
        <item x="113"/>
        <item x="401"/>
        <item x="523"/>
        <item x="368"/>
        <item x="447"/>
        <item x="158"/>
        <item x="664"/>
        <item x="25"/>
        <item x="61"/>
        <item x="219"/>
        <item x="383"/>
        <item x="136"/>
        <item x="889"/>
        <item x="367"/>
        <item x="106"/>
        <item x="22"/>
        <item x="340"/>
        <item x="265"/>
        <item x="194"/>
        <item x="353"/>
        <item x="682"/>
        <item x="945"/>
        <item x="736"/>
        <item x="794"/>
        <item x="255"/>
        <item x="320"/>
        <item x="854"/>
        <item x="476"/>
        <item x="16"/>
        <item x="385"/>
        <item x="68"/>
        <item x="975"/>
        <item x="938"/>
        <item x="326"/>
        <item x="463"/>
        <item x="958"/>
        <item x="641"/>
        <item x="90"/>
        <item x="963"/>
        <item x="520"/>
        <item x="262"/>
        <item x="611"/>
        <item x="366"/>
        <item x="448"/>
        <item x="654"/>
        <item x="339"/>
        <item x="721"/>
        <item x="666"/>
        <item x="517"/>
        <item x="338"/>
        <item x="269"/>
        <item x="769"/>
        <item x="46"/>
        <item x="210"/>
        <item x="622"/>
        <item x="465"/>
        <item x="843"/>
        <item x="365"/>
        <item x="767"/>
        <item x="597"/>
        <item x="216"/>
        <item x="472"/>
        <item x="496"/>
        <item x="260"/>
        <item x="183"/>
        <item x="27"/>
        <item x="355"/>
        <item x="30"/>
        <item x="438"/>
        <item x="2"/>
        <item x="625"/>
        <item x="222"/>
        <item x="834"/>
        <item x="77"/>
        <item x="19"/>
        <item x="740"/>
        <item x="818"/>
        <item x="483"/>
        <item x="295"/>
        <item x="479"/>
        <item x="143"/>
        <item x="584"/>
        <item x="576"/>
        <item x="484"/>
        <item x="179"/>
        <item x="252"/>
        <item x="593"/>
        <item x="456"/>
        <item x="64"/>
        <item x="727"/>
        <item x="15"/>
        <item x="257"/>
        <item x="827"/>
        <item x="878"/>
        <item x="849"/>
        <item x="157"/>
        <item x="169"/>
        <item x="929"/>
        <item x="792"/>
        <item x="848"/>
        <item x="904"/>
        <item x="203"/>
        <item x="924"/>
        <item x="417"/>
        <item x="613"/>
        <item x="181"/>
        <item x="667"/>
        <item x="334"/>
        <item x="432"/>
        <item x="739"/>
        <item x="529"/>
        <item x="14"/>
        <item x="806"/>
        <item x="45"/>
        <item x="851"/>
        <item x="451"/>
        <item x="967"/>
        <item x="177"/>
        <item x="922"/>
        <item x="535"/>
        <item x="722"/>
        <item x="26"/>
        <item x="198"/>
        <item x="51"/>
        <item x="838"/>
        <item x="74"/>
        <item x="135"/>
        <item x="991"/>
        <item x="474"/>
        <item x="446"/>
        <item x="903"/>
        <item x="298"/>
        <item x="229"/>
        <item x="349"/>
        <item x="88"/>
        <item x="164"/>
        <item x="424"/>
        <item x="630"/>
        <item x="453"/>
        <item x="450"/>
        <item x="760"/>
        <item x="91"/>
        <item x="989"/>
        <item x="312"/>
        <item x="589"/>
        <item x="184"/>
        <item x="358"/>
        <item x="151"/>
        <item x="54"/>
        <item x="886"/>
        <item x="359"/>
        <item x="829"/>
        <item x="241"/>
        <item x="860"/>
        <item x="716"/>
        <item x="865"/>
        <item x="985"/>
        <item x="833"/>
        <item x="752"/>
        <item x="146"/>
        <item x="620"/>
        <item x="784"/>
        <item x="549"/>
        <item x="200"/>
        <item x="72"/>
        <item x="830"/>
        <item x="478"/>
        <item x="892"/>
        <item x="163"/>
        <item x="998"/>
        <item x="331"/>
        <item x="657"/>
        <item x="775"/>
        <item x="804"/>
        <item x="888"/>
        <item x="170"/>
        <item x="243"/>
        <item x="304"/>
        <item x="956"/>
        <item x="114"/>
        <item x="352"/>
        <item x="120"/>
        <item x="640"/>
        <item x="883"/>
        <item x="233"/>
        <item x="710"/>
        <item x="712"/>
        <item x="558"/>
        <item x="397"/>
        <item x="545"/>
        <item x="199"/>
        <item x="174"/>
        <item x="890"/>
        <item x="519"/>
        <item x="272"/>
        <item x="914"/>
        <item x="974"/>
        <item x="866"/>
        <item x="480"/>
        <item x="632"/>
        <item x="293"/>
        <item x="687"/>
        <item x="882"/>
        <item x="482"/>
        <item x="546"/>
        <item x="585"/>
        <item x="783"/>
        <item x="568"/>
        <item x="266"/>
        <item x="31"/>
        <item x="801"/>
        <item x="603"/>
        <item x="96"/>
        <item x="610"/>
        <item x="742"/>
        <item x="540"/>
        <item x="771"/>
        <item x="159"/>
        <item x="55"/>
        <item x="356"/>
        <item x="616"/>
        <item x="402"/>
        <item x="795"/>
        <item x="283"/>
        <item x="574"/>
        <item x="325"/>
        <item x="245"/>
        <item x="278"/>
        <item x="154"/>
        <item x="213"/>
        <item x="115"/>
        <item x="987"/>
        <item x="461"/>
        <item x="915"/>
        <item x="268"/>
        <item x="659"/>
        <item x="270"/>
        <item x="477"/>
        <item x="394"/>
        <item x="321"/>
        <item x="118"/>
        <item x="955"/>
        <item x="342"/>
        <item x="454"/>
        <item x="993"/>
        <item x="377"/>
        <item x="246"/>
        <item x="395"/>
        <item x="976"/>
        <item x="631"/>
        <item x="552"/>
        <item x="831"/>
        <item x="573"/>
        <item x="238"/>
        <item x="436"/>
        <item x="495"/>
        <item x="361"/>
        <item x="695"/>
        <item x="80"/>
        <item x="560"/>
        <item x="221"/>
        <item x="820"/>
        <item x="311"/>
        <item x="925"/>
        <item x="735"/>
        <item x="853"/>
        <item x="475"/>
        <item x="942"/>
        <item x="793"/>
        <item x="930"/>
        <item x="595"/>
        <item x="462"/>
        <item x="421"/>
        <item x="895"/>
        <item x="809"/>
        <item x="518"/>
        <item x="658"/>
        <item x="488"/>
        <item x="961"/>
        <item x="308"/>
        <item x="683"/>
        <item x="699"/>
        <item x="936"/>
        <item x="411"/>
        <item x="329"/>
        <item x="720"/>
        <item x="147"/>
        <item x="426"/>
        <item x="871"/>
        <item x="107"/>
        <item x="305"/>
        <item x="729"/>
        <item x="510"/>
        <item x="563"/>
        <item x="52"/>
        <item x="258"/>
        <item x="393"/>
        <item x="988"/>
        <item x="926"/>
        <item x="874"/>
        <item x="907"/>
        <item x="577"/>
        <item x="846"/>
        <item x="785"/>
        <item x="373"/>
        <item x="867"/>
        <item x="837"/>
        <item x="905"/>
        <item x="623"/>
        <item x="750"/>
        <item x="719"/>
        <item x="166"/>
        <item x="731"/>
        <item x="171"/>
        <item x="337"/>
        <item x="788"/>
        <item x="429"/>
        <item x="586"/>
        <item x="1"/>
        <item x="569"/>
        <item x="717"/>
        <item x="592"/>
        <item x="814"/>
        <item x="554"/>
        <item x="32"/>
        <item x="709"/>
        <item x="671"/>
        <item x="823"/>
        <item x="442"/>
        <item x="232"/>
        <item x="299"/>
        <item x="694"/>
        <item x="297"/>
        <item x="328"/>
        <item x="47"/>
        <item x="688"/>
        <item x="941"/>
        <item x="979"/>
        <item x="168"/>
        <item x="992"/>
        <item x="503"/>
        <item x="165"/>
        <item x="319"/>
        <item x="635"/>
        <item x="17"/>
        <item x="57"/>
        <item x="899"/>
        <item x="606"/>
        <item x="655"/>
        <item x="382"/>
        <item x="12"/>
        <item x="649"/>
        <item x="468"/>
        <item x="578"/>
        <item x="81"/>
        <item x="583"/>
        <item x="692"/>
        <item x="575"/>
        <item x="6"/>
        <item x="912"/>
        <item x="737"/>
        <item x="274"/>
        <item x="950"/>
        <item x="460"/>
        <item x="506"/>
        <item x="507"/>
        <item x="917"/>
        <item x="971"/>
        <item x="723"/>
        <item x="49"/>
        <item x="845"/>
        <item x="875"/>
        <item x="526"/>
        <item x="864"/>
        <item x="973"/>
        <item x="195"/>
        <item x="918"/>
        <item x="314"/>
        <item x="187"/>
        <item x="994"/>
        <item x="409"/>
        <item x="99"/>
        <item x="124"/>
        <item x="489"/>
        <item x="857"/>
        <item x="825"/>
        <item x="763"/>
        <item x="126"/>
        <item x="351"/>
        <item x="103"/>
        <item x="65"/>
        <item x="690"/>
        <item x="105"/>
        <item x="525"/>
        <item x="642"/>
        <item x="880"/>
        <item x="40"/>
        <item x="277"/>
        <item x="131"/>
        <item x="83"/>
        <item x="881"/>
        <item x="913"/>
        <item x="547"/>
        <item x="275"/>
        <item x="824"/>
        <item x="768"/>
        <item x="161"/>
        <item x="776"/>
        <item x="137"/>
        <item x="513"/>
        <item x="841"/>
        <item x="758"/>
        <item x="497"/>
        <item x="826"/>
        <item x="123"/>
        <item x="92"/>
        <item x="430"/>
        <item x="433"/>
        <item x="774"/>
        <item x="69"/>
        <item x="490"/>
        <item x="281"/>
        <item x="686"/>
        <item x="997"/>
        <item x="95"/>
        <item x="599"/>
        <item x="653"/>
        <item x="935"/>
        <item x="759"/>
        <item x="481"/>
        <item x="953"/>
        <item x="290"/>
        <item x="84"/>
        <item x="178"/>
        <item x="561"/>
        <item x="175"/>
        <item x="579"/>
        <item x="744"/>
        <item x="894"/>
        <item x="323"/>
        <item x="983"/>
        <item x="56"/>
        <item x="63"/>
        <item x="777"/>
        <item x="909"/>
        <item x="805"/>
        <item x="677"/>
        <item x="227"/>
        <item x="600"/>
        <item x="789"/>
        <item x="787"/>
        <item x="937"/>
        <item x="816"/>
        <item x="502"/>
        <item x="532"/>
        <item x="172"/>
        <item x="954"/>
        <item x="70"/>
        <item x="684"/>
        <item x="832"/>
        <item x="551"/>
        <item x="873"/>
        <item x="633"/>
        <item x="797"/>
        <item x="125"/>
        <item x="3"/>
        <item x="943"/>
        <item x="29"/>
        <item x="674"/>
        <item x="587"/>
        <item x="896"/>
        <item x="582"/>
        <item x="715"/>
        <item x="413"/>
        <item x="273"/>
        <item x="116"/>
        <item x="138"/>
        <item x="443"/>
        <item x="21"/>
        <item x="404"/>
        <item x="703"/>
        <item x="459"/>
        <item x="617"/>
        <item x="256"/>
        <item x="119"/>
        <item x="673"/>
        <item x="887"/>
        <item x="646"/>
        <item x="85"/>
        <item x="261"/>
        <item x="485"/>
        <item x="872"/>
        <item x="191"/>
        <item x="79"/>
        <item x="910"/>
        <item x="145"/>
        <item x="148"/>
        <item x="977"/>
        <item x="934"/>
        <item x="307"/>
        <item x="129"/>
        <item x="201"/>
        <item x="205"/>
        <item x="167"/>
        <item x="405"/>
        <item x="962"/>
        <item x="434"/>
        <item x="947"/>
        <item x="940"/>
        <item x="289"/>
        <item x="718"/>
        <item x="762"/>
        <item x="858"/>
        <item x="544"/>
        <item x="317"/>
        <item x="608"/>
        <item x="870"/>
        <item x="234"/>
        <item x="515"/>
        <item x="128"/>
        <item x="724"/>
        <item x="615"/>
        <item x="927"/>
        <item x="533"/>
        <item x="38"/>
        <item x="244"/>
        <item x="605"/>
        <item x="773"/>
        <item x="439"/>
        <item x="487"/>
        <item x="527"/>
        <item x="514"/>
        <item x="403"/>
        <item x="473"/>
        <item x="381"/>
        <item x="754"/>
        <item x="89"/>
        <item x="248"/>
        <item x="660"/>
        <item x="921"/>
        <item x="906"/>
        <item x="923"/>
        <item x="856"/>
        <item x="50"/>
        <item x="470"/>
        <item x="791"/>
        <item x="111"/>
        <item x="748"/>
        <item x="643"/>
        <item x="369"/>
        <item x="505"/>
        <item x="444"/>
        <item x="110"/>
        <item x="414"/>
        <item x="48"/>
        <item x="893"/>
        <item x="469"/>
        <item x="435"/>
        <item x="11"/>
        <item x="386"/>
        <item x="152"/>
        <item x="471"/>
        <item x="842"/>
        <item x="5"/>
        <item x="412"/>
        <item x="364"/>
        <item x="23"/>
        <item x="449"/>
        <item x="932"/>
        <item x="675"/>
        <item x="300"/>
        <item x="636"/>
        <item x="541"/>
        <item x="102"/>
        <item x="624"/>
        <item x="190"/>
        <item x="602"/>
        <item x="176"/>
        <item x="276"/>
        <item x="296"/>
        <item x="498"/>
        <item x="678"/>
        <item x="852"/>
        <item x="733"/>
        <item x="821"/>
        <item x="751"/>
        <item x="812"/>
        <item x="725"/>
        <item x="705"/>
        <item x="565"/>
        <item x="538"/>
        <item x="986"/>
        <item x="197"/>
        <item x="753"/>
        <item x="665"/>
        <item x="4"/>
        <item x="619"/>
        <item x="644"/>
        <item x="341"/>
        <item x="990"/>
        <item x="188"/>
        <item x="360"/>
        <item x="512"/>
        <item x="58"/>
        <item x="984"/>
        <item x="372"/>
        <item x="920"/>
        <item x="681"/>
        <item x="218"/>
        <item x="100"/>
        <item x="493"/>
        <item x="112"/>
        <item x="153"/>
        <item x="220"/>
        <item x="609"/>
        <item x="598"/>
        <item x="186"/>
        <item x="650"/>
        <item x="680"/>
        <item x="399"/>
        <item x="98"/>
        <item x="76"/>
        <item x="900"/>
        <item x="861"/>
        <item x="267"/>
        <item x="755"/>
        <item x="336"/>
        <item x="726"/>
        <item x="332"/>
        <item x="612"/>
        <item x="452"/>
        <item x="41"/>
        <item x="662"/>
        <item x="378"/>
        <item x="318"/>
        <item x="408"/>
        <item x="966"/>
        <item x="747"/>
        <item x="693"/>
        <item x="254"/>
        <item x="82"/>
        <item x="44"/>
        <item x="387"/>
        <item x="410"/>
        <item x="121"/>
        <item x="350"/>
        <item x="8"/>
        <item x="239"/>
        <item x="28"/>
        <item x="180"/>
        <item x="702"/>
        <item x="734"/>
        <item x="743"/>
        <item x="528"/>
        <item x="708"/>
        <item x="869"/>
        <item x="639"/>
        <item x="638"/>
        <item x="140"/>
        <item x="389"/>
        <item x="567"/>
        <item x="964"/>
        <item x="427"/>
        <item x="645"/>
        <item x="670"/>
        <item x="728"/>
        <item x="24"/>
        <item x="504"/>
        <item x="626"/>
        <item x="247"/>
        <item x="139"/>
        <item x="202"/>
        <item x="868"/>
        <item x="691"/>
        <item x="648"/>
        <item x="324"/>
        <item x="499"/>
        <item x="972"/>
        <item x="130"/>
        <item x="607"/>
        <item x="242"/>
        <item x="543"/>
        <item x="516"/>
        <item x="898"/>
        <item x="919"/>
        <item x="885"/>
        <item x="230"/>
        <item x="457"/>
        <item x="236"/>
        <item x="330"/>
        <item x="790"/>
        <item x="303"/>
        <item x="840"/>
        <item x="745"/>
        <item x="185"/>
        <item x="714"/>
        <item x="944"/>
        <item x="251"/>
        <item x="711"/>
        <item x="550"/>
        <item x="781"/>
        <item x="60"/>
        <item x="765"/>
        <item x="697"/>
        <item x="628"/>
        <item x="652"/>
        <item x="981"/>
        <item x="855"/>
        <item x="43"/>
        <item x="661"/>
        <item x="732"/>
        <item x="696"/>
        <item x="343"/>
        <item x="946"/>
        <item x="822"/>
        <item x="835"/>
        <item x="486"/>
        <item x="237"/>
        <item x="288"/>
        <item x="66"/>
        <item x="196"/>
        <item x="287"/>
        <item x="536"/>
        <item x="815"/>
        <item x="596"/>
        <item x="34"/>
        <item x="285"/>
        <item x="539"/>
        <item x="700"/>
        <item x="101"/>
        <item x="508"/>
        <item x="761"/>
        <item x="651"/>
        <item x="217"/>
        <item x="590"/>
        <item x="704"/>
        <item x="713"/>
        <item x="879"/>
        <item x="379"/>
        <item x="391"/>
        <item x="601"/>
        <item x="36"/>
        <item x="672"/>
        <item x="156"/>
        <item x="162"/>
        <item x="235"/>
        <item x="348"/>
        <item x="20"/>
        <item x="996"/>
        <item x="562"/>
        <item t="default"/>
      </items>
    </pivotField>
    <pivotField showAll="0"/>
    <pivotField numFmtId="10" showAll="0"/>
    <pivotField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1"/>
  </rowFields>
  <rowItems count="13">
    <i>
      <x v="1"/>
    </i>
    <i>
      <x v="2"/>
    </i>
    <i>
      <x v="3"/>
    </i>
    <i>
      <x v="4"/>
    </i>
    <i>
      <x v="5"/>
    </i>
    <i>
      <x v="6"/>
    </i>
    <i>
      <x v="7"/>
    </i>
    <i>
      <x v="8"/>
    </i>
    <i>
      <x v="9"/>
    </i>
    <i>
      <x v="10"/>
    </i>
    <i>
      <x v="11"/>
    </i>
    <i>
      <x v="12"/>
    </i>
    <i t="grand">
      <x/>
    </i>
  </rowItems>
  <colItems count="1">
    <i/>
  </colItems>
  <dataFields count="1">
    <dataField name="Sum of Sales" fld="16" baseField="0" baseItem="0"/>
  </dataFields>
  <chartFormats count="3">
    <chartFormat chart="79" format="3" series="1">
      <pivotArea type="data" outline="0" fieldPosition="0">
        <references count="1">
          <reference field="4294967294" count="1" selected="0">
            <x v="0"/>
          </reference>
        </references>
      </pivotArea>
    </chartFormat>
    <chartFormat chart="83" format="0" series="1">
      <pivotArea type="data" outline="0" fieldPosition="0">
        <references count="1">
          <reference field="4294967294" count="1" selected="0">
            <x v="0"/>
          </reference>
        </references>
      </pivotArea>
    </chartFormat>
    <chartFormat chart="8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E695E0-F2EB-4288-B3A6-15E995F6885C}" name="Profit by Sub-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6:H19" firstHeaderRow="1" firstDataRow="1" firstDataCol="1"/>
  <pivotFields count="27">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5">
        <item x="0"/>
        <item x="1"/>
        <item x="3"/>
        <item x="2"/>
        <item t="default"/>
      </items>
    </pivotField>
    <pivotField showAll="0"/>
    <pivotField showAll="0"/>
    <pivotField showAll="0">
      <items count="4">
        <item x="2"/>
        <item x="0"/>
        <item x="1"/>
        <item t="default"/>
      </items>
    </pivotField>
    <pivotField showAll="0"/>
    <pivotField showAll="0"/>
    <pivotField showAll="0"/>
    <pivotField showAll="0"/>
    <pivotField showAll="0">
      <items count="5">
        <item x="0"/>
        <item x="1"/>
        <item x="2"/>
        <item x="3"/>
        <item t="default"/>
      </items>
    </pivotField>
    <pivotField showAll="0"/>
    <pivotField showAll="0">
      <items count="4">
        <item x="0"/>
        <item x="2"/>
        <item x="1"/>
        <item t="default"/>
      </items>
    </pivotField>
    <pivotField axis="axisRow" showAll="0" sortType="descending">
      <items count="13">
        <item x="4"/>
        <item x="5"/>
        <item x="7"/>
        <item x="0"/>
        <item x="9"/>
        <item x="10"/>
        <item x="1"/>
        <item x="3"/>
        <item x="6"/>
        <item x="2"/>
        <item x="11"/>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0" showAll="0"/>
    <pivotField dataField="1" showAll="0"/>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 dragToRow="0" dragToCol="0" dragToPage="0" showAll="0" defaultSubtotal="0"/>
  </pivotFields>
  <rowFields count="1">
    <field x="14"/>
  </rowFields>
  <rowItems count="13">
    <i>
      <x v="5"/>
    </i>
    <i>
      <x v="9"/>
    </i>
    <i>
      <x v="1"/>
    </i>
    <i>
      <x v="3"/>
    </i>
    <i>
      <x v="11"/>
    </i>
    <i>
      <x v="6"/>
    </i>
    <i>
      <x v="10"/>
    </i>
    <i>
      <x v="4"/>
    </i>
    <i>
      <x v="7"/>
    </i>
    <i>
      <x v="8"/>
    </i>
    <i>
      <x/>
    </i>
    <i>
      <x v="2"/>
    </i>
    <i t="grand">
      <x/>
    </i>
  </rowItems>
  <colItems count="1">
    <i/>
  </colItems>
  <dataFields count="1">
    <dataField name="Sum of Profit" fld="19" baseField="0" baseItem="0"/>
  </dataFields>
  <chartFormats count="3">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395B4FE-34D8-44CB-A0D6-BE159B54CA6A}" sourceName="Category">
  <pivotTables>
    <pivotTable tabId="4" name="Sales by Category"/>
    <pivotTable tabId="4" name="PivotTable1"/>
    <pivotTable tabId="4" name="PivotTable2"/>
    <pivotTable tabId="4" name="Sales by Region"/>
    <pivotTable tabId="4" name="Sales Trend Over Time"/>
    <pivotTable tabId="4" name="Top 10 Products by Sales"/>
    <pivotTable tabId="4" name="PivotTable8"/>
    <pivotTable tabId="4" name="Profit by Sub-Category"/>
    <pivotTable tabId="1" name="PivotTable1"/>
  </pivotTables>
  <data>
    <tabular pivotCacheId="71079326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B9003276-AA84-4AD3-89B7-3749487E8077}" sourceName="Sub-Category">
  <pivotTables>
    <pivotTable tabId="4" name="Sales by Category"/>
    <pivotTable tabId="4" name="PivotTable1"/>
    <pivotTable tabId="4" name="PivotTable2"/>
    <pivotTable tabId="4" name="PivotTable8"/>
    <pivotTable tabId="4" name="Profit by Sub-Category"/>
    <pivotTable tabId="4" name="Sales by Region"/>
    <pivotTable tabId="4" name="Sales Trend Over Time"/>
    <pivotTable tabId="4" name="Top 10 Products by Sales"/>
    <pivotTable tabId="1" name="PivotTable1"/>
  </pivotTables>
  <data>
    <tabular pivotCacheId="710793266">
      <items count="12">
        <i x="4" s="1"/>
        <i x="5" s="1"/>
        <i x="7" s="1"/>
        <i x="0" s="1"/>
        <i x="9" s="1"/>
        <i x="10" s="1"/>
        <i x="1" s="1"/>
        <i x="3" s="1"/>
        <i x="6"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17FEE1-5C73-4F6E-BC84-75A1C81F10E8}" sourceName="Region">
  <pivotTables>
    <pivotTable tabId="4" name="Sales by Region"/>
    <pivotTable tabId="4" name="PivotTable1"/>
    <pivotTable tabId="4" name="PivotTable2"/>
    <pivotTable tabId="4" name="PivotTable8"/>
    <pivotTable tabId="4" name="Profit by Sub-Category"/>
    <pivotTable tabId="4" name="Sales Trend Over Time"/>
    <pivotTable tabId="4" name="Top 10 Products by Sales"/>
    <pivotTable tabId="1" name="PivotTable1"/>
  </pivotTables>
  <data>
    <tabular pivotCacheId="710793266">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EFC699D8-CFFB-4CB5-BF60-E41420ABBEFC}" sourceName="Months (Order Date)">
  <pivotTables>
    <pivotTable tabId="4" name="Profit by Sub-Category"/>
    <pivotTable tabId="4" name="PivotTable1"/>
    <pivotTable tabId="4" name="PivotTable2"/>
    <pivotTable tabId="4" name="PivotTable8"/>
    <pivotTable tabId="4" name="Sales by Category"/>
    <pivotTable tabId="4" name="Sales by Region"/>
    <pivotTable tabId="4" name="Sales Trend Over Time"/>
    <pivotTable tabId="4" name="Top 10 Products by Sales"/>
    <pivotTable tabId="1" name="PivotTable1"/>
  </pivotTables>
  <data>
    <tabular pivotCacheId="710793266">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8FEF28C-669F-4D4F-8E73-FD9D188DDDFB}" sourceName="Years (Order Date)">
  <pivotTables>
    <pivotTable tabId="4" name="Profit by Sub-Category"/>
    <pivotTable tabId="4" name="PivotTable1"/>
    <pivotTable tabId="4" name="PivotTable2"/>
    <pivotTable tabId="4" name="PivotTable8"/>
    <pivotTable tabId="4" name="Sales by Category"/>
    <pivotTable tabId="4" name="Sales by Region"/>
    <pivotTable tabId="4" name="Sales Trend Over Time"/>
    <pivotTable tabId="4" name="Top 10 Products by Sales"/>
    <pivotTable tabId="1" name="PivotTable1"/>
  </pivotTables>
  <data>
    <tabular pivotCacheId="710793266">
      <items count="6">
        <i x="1" s="1"/>
        <i x="2" s="1"/>
        <i x="3" s="1"/>
        <i x="0" s="1" nd="1"/>
        <i x="5" s="1" nd="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358F008-8F85-4308-A862-62E27BF670D4}" sourceName="Ship Mode">
  <pivotTables>
    <pivotTable tabId="4" name="PivotTable8"/>
    <pivotTable tabId="4" name="PivotTable1"/>
    <pivotTable tabId="4" name="PivotTable2"/>
    <pivotTable tabId="4" name="Profit by Sub-Category"/>
    <pivotTable tabId="4" name="Sales by Category"/>
    <pivotTable tabId="4" name="Sales by Region"/>
    <pivotTable tabId="4" name="Sales Trend Over Time"/>
    <pivotTable tabId="4" name="Top 10 Products by Sales"/>
  </pivotTables>
  <data>
    <tabular pivotCacheId="710793266">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CE7A488-53F6-4E00-83C1-9011E8AC81C4}" cache="Slicer_Category" caption="Category" style="SlicerStyleLight2" rowHeight="230716"/>
  <slicer name="Sub-Category 1" xr10:uid="{9093F6FC-13D6-4E06-829C-E147A584D166}" cache="Slicer_Sub_Category" caption="Sub-Category" columnCount="4" style="SlicerStyleLight3" rowHeight="230716"/>
  <slicer name="Region 1" xr10:uid="{B1F9CAD6-68CB-4C03-82E4-9764CB3A0FEF}" cache="Slicer_Region" caption="Region" startItem="3" style="SlicerStyleLight4" rowHeight="230716"/>
  <slicer name="Months (Order Date) 1" xr10:uid="{7C895CBB-4C16-4228-AB71-AC615F785E86}" cache="Slicer_Months__Order_Date" caption="Months " rowHeight="216000"/>
  <slicer name="Years (Order Date) 1" xr10:uid="{B857CAE9-F378-45A4-B7F3-F1494C44B93B}" cache="Slicer_Years__Order_Date" caption="Years (Order Date)" columnCount="3" style="SlicerStyleOther1" rowHeight="230716"/>
  <slicer name="Ship Mode" xr10:uid="{60061E6D-1374-4AF1-9306-2B17D7A338A4}" cache="Slicer_Ship_Mode" caption="Ship Mode" startItem="1" style="SlicerStyleLight6" rowHeight="230716"/>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1001"/>
  <sheetViews>
    <sheetView workbookViewId="0">
      <selection activeCell="U1" sqref="U1"/>
    </sheetView>
  </sheetViews>
  <sheetFormatPr defaultRowHeight="14" x14ac:dyDescent="0.3"/>
  <cols>
    <col min="1" max="1" width="9.9140625" customWidth="1"/>
    <col min="2" max="2" width="16" customWidth="1"/>
    <col min="3" max="3" width="17.75" customWidth="1"/>
    <col min="4" max="4" width="13" customWidth="1"/>
    <col min="5" max="5" width="13.25" customWidth="1"/>
    <col min="6" max="6" width="16.33203125" customWidth="1"/>
    <col min="7" max="7" width="11.1640625" customWidth="1"/>
    <col min="8" max="8" width="11.75" customWidth="1"/>
    <col min="9" max="9" width="10.4140625" customWidth="1"/>
    <col min="10" max="10" width="7.9140625" customWidth="1"/>
    <col min="11" max="11" width="12.6640625" customWidth="1"/>
    <col min="12" max="12" width="8.4140625" customWidth="1"/>
    <col min="13" max="13" width="11.6640625" customWidth="1"/>
    <col min="14" max="14" width="13.1640625" customWidth="1"/>
    <col min="15" max="15" width="13.9140625" customWidth="1"/>
    <col min="16" max="16" width="14.75" customWidth="1"/>
    <col min="17" max="17" width="7.75" customWidth="1"/>
    <col min="18" max="18" width="9.25" customWidth="1"/>
    <col min="19" max="19" width="9.25" style="17" customWidth="1"/>
    <col min="20" max="20" width="7.75" customWidth="1"/>
    <col min="22" max="25" width="8"/>
    <col min="26" max="26" width="12.5" customWidth="1"/>
    <col min="27" max="27" width="8"/>
    <col min="28" max="28" width="12.5" customWidth="1"/>
    <col min="29" max="29" width="8"/>
    <col min="30" max="30" width="12.5" customWidth="1"/>
  </cols>
  <sheetData>
    <row r="1" spans="1:24" ht="14.5" thickBot="1" x14ac:dyDescent="0.35">
      <c r="A1" s="1" t="s">
        <v>0</v>
      </c>
      <c r="B1" s="1" t="s">
        <v>1</v>
      </c>
      <c r="C1" s="9"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8" t="s">
        <v>18</v>
      </c>
      <c r="T1" s="2" t="s">
        <v>19</v>
      </c>
    </row>
    <row r="2" spans="1:24" ht="14.5" thickTop="1" x14ac:dyDescent="0.3">
      <c r="A2" s="3" t="s">
        <v>20</v>
      </c>
      <c r="B2" s="10">
        <v>43101</v>
      </c>
      <c r="C2" s="11">
        <v>43103</v>
      </c>
      <c r="D2" s="4" t="s">
        <v>1020</v>
      </c>
      <c r="E2" s="4" t="s">
        <v>1024</v>
      </c>
      <c r="F2" s="4" t="s">
        <v>1968</v>
      </c>
      <c r="G2" s="4" t="s">
        <v>2406</v>
      </c>
      <c r="H2" s="4" t="s">
        <v>2409</v>
      </c>
      <c r="I2" s="4" t="s">
        <v>2410</v>
      </c>
      <c r="J2" s="14" t="s">
        <v>2410</v>
      </c>
      <c r="K2" s="14">
        <v>60246</v>
      </c>
      <c r="L2" s="4" t="s">
        <v>2419</v>
      </c>
      <c r="M2" s="4" t="s">
        <v>2423</v>
      </c>
      <c r="N2" s="4" t="s">
        <v>3371</v>
      </c>
      <c r="O2" s="4" t="s">
        <v>3374</v>
      </c>
      <c r="P2" s="4" t="s">
        <v>3386</v>
      </c>
      <c r="Q2" s="4">
        <v>1178.47</v>
      </c>
      <c r="R2" s="14">
        <v>4</v>
      </c>
      <c r="S2" s="19">
        <v>0.14000000000000001</v>
      </c>
      <c r="T2" s="14">
        <v>606.95000000000005</v>
      </c>
    </row>
    <row r="3" spans="1:24" x14ac:dyDescent="0.3">
      <c r="A3" s="5" t="s">
        <v>21</v>
      </c>
      <c r="B3" s="12">
        <v>43102.096099537041</v>
      </c>
      <c r="C3" s="12">
        <v>43107.096096096087</v>
      </c>
      <c r="D3" s="6" t="s">
        <v>1021</v>
      </c>
      <c r="E3" s="6" t="s">
        <v>1025</v>
      </c>
      <c r="F3" s="6" t="s">
        <v>1969</v>
      </c>
      <c r="G3" s="6" t="s">
        <v>2407</v>
      </c>
      <c r="H3" s="6" t="s">
        <v>2409</v>
      </c>
      <c r="I3" s="6" t="s">
        <v>2411</v>
      </c>
      <c r="J3" s="15" t="s">
        <v>3896</v>
      </c>
      <c r="K3" s="15">
        <v>10511</v>
      </c>
      <c r="L3" s="6" t="s">
        <v>2420</v>
      </c>
      <c r="M3" s="6" t="s">
        <v>2424</v>
      </c>
      <c r="N3" s="6" t="s">
        <v>3371</v>
      </c>
      <c r="O3" s="6" t="s">
        <v>3375</v>
      </c>
      <c r="P3" s="6" t="s">
        <v>3387</v>
      </c>
      <c r="Q3" s="6">
        <v>2812.81</v>
      </c>
      <c r="R3" s="15">
        <v>13</v>
      </c>
      <c r="S3" s="20">
        <v>0.25</v>
      </c>
      <c r="T3" s="15">
        <v>44.36</v>
      </c>
    </row>
    <row r="4" spans="1:24" x14ac:dyDescent="0.3">
      <c r="A4" s="7" t="s">
        <v>22</v>
      </c>
      <c r="B4" s="13">
        <v>43103.192187499997</v>
      </c>
      <c r="C4" s="13">
        <v>43108.192192192189</v>
      </c>
      <c r="D4" s="8" t="s">
        <v>1022</v>
      </c>
      <c r="E4" s="8" t="s">
        <v>1026</v>
      </c>
      <c r="F4" s="8" t="s">
        <v>1970</v>
      </c>
      <c r="G4" s="8" t="s">
        <v>2407</v>
      </c>
      <c r="H4" s="8" t="s">
        <v>2409</v>
      </c>
      <c r="I4" s="8" t="s">
        <v>2410</v>
      </c>
      <c r="J4" s="16" t="s">
        <v>3892</v>
      </c>
      <c r="K4" s="16">
        <v>51124</v>
      </c>
      <c r="L4" s="8" t="s">
        <v>2420</v>
      </c>
      <c r="M4" s="8" t="s">
        <v>2425</v>
      </c>
      <c r="N4" s="8" t="s">
        <v>3372</v>
      </c>
      <c r="O4" s="8" t="s">
        <v>3376</v>
      </c>
      <c r="P4" s="8" t="s">
        <v>3388</v>
      </c>
      <c r="Q4" s="8">
        <v>1591.25</v>
      </c>
      <c r="R4" s="16">
        <v>2</v>
      </c>
      <c r="S4" s="21">
        <v>1</v>
      </c>
      <c r="T4" s="16">
        <v>-81.94</v>
      </c>
      <c r="V4" s="28"/>
      <c r="W4" s="29"/>
      <c r="X4" s="30"/>
    </row>
    <row r="5" spans="1:24" x14ac:dyDescent="0.3">
      <c r="A5" s="5" t="s">
        <v>23</v>
      </c>
      <c r="B5" s="12">
        <v>43104.288287037038</v>
      </c>
      <c r="C5" s="12">
        <v>43108.288288288277</v>
      </c>
      <c r="D5" s="6" t="s">
        <v>1022</v>
      </c>
      <c r="E5" s="6" t="s">
        <v>1027</v>
      </c>
      <c r="F5" s="6" t="s">
        <v>1971</v>
      </c>
      <c r="G5" s="6" t="s">
        <v>2407</v>
      </c>
      <c r="H5" s="6" t="s">
        <v>2409</v>
      </c>
      <c r="I5" s="6" t="s">
        <v>2411</v>
      </c>
      <c r="J5" s="15" t="s">
        <v>3895</v>
      </c>
      <c r="K5" s="15">
        <v>82244</v>
      </c>
      <c r="L5" s="6" t="s">
        <v>2420</v>
      </c>
      <c r="M5" s="6" t="s">
        <v>2426</v>
      </c>
      <c r="N5" s="6" t="s">
        <v>3372</v>
      </c>
      <c r="O5" s="6" t="s">
        <v>3377</v>
      </c>
      <c r="P5" s="6" t="s">
        <v>3389</v>
      </c>
      <c r="Q5" s="6">
        <v>3505.4</v>
      </c>
      <c r="R5" s="15">
        <v>7</v>
      </c>
      <c r="S5" s="20">
        <v>0.85</v>
      </c>
      <c r="T5" s="15">
        <v>1598.96</v>
      </c>
      <c r="V5" s="31"/>
      <c r="W5" s="32"/>
      <c r="X5" s="33"/>
    </row>
    <row r="6" spans="1:24" x14ac:dyDescent="0.3">
      <c r="A6" s="7" t="s">
        <v>24</v>
      </c>
      <c r="B6" s="13">
        <v>43105.384386574071</v>
      </c>
      <c r="C6" s="13">
        <v>43107.384384384372</v>
      </c>
      <c r="D6" s="8" t="s">
        <v>1020</v>
      </c>
      <c r="E6" s="8" t="s">
        <v>1028</v>
      </c>
      <c r="F6" s="8" t="s">
        <v>1972</v>
      </c>
      <c r="G6" s="8" t="s">
        <v>2406</v>
      </c>
      <c r="H6" s="8" t="s">
        <v>2409</v>
      </c>
      <c r="I6" s="8" t="s">
        <v>2412</v>
      </c>
      <c r="J6" s="16" t="s">
        <v>3898</v>
      </c>
      <c r="K6" s="16">
        <v>24855</v>
      </c>
      <c r="L6" s="8" t="s">
        <v>2420</v>
      </c>
      <c r="M6" s="8" t="s">
        <v>2427</v>
      </c>
      <c r="N6" s="8" t="s">
        <v>3371</v>
      </c>
      <c r="O6" s="8" t="s">
        <v>3375</v>
      </c>
      <c r="P6" s="8" t="s">
        <v>3390</v>
      </c>
      <c r="Q6" s="8">
        <v>4153.34</v>
      </c>
      <c r="R6" s="16">
        <v>7</v>
      </c>
      <c r="S6" s="21">
        <v>0.77</v>
      </c>
      <c r="T6" s="16">
        <v>-651.24</v>
      </c>
      <c r="V6" s="31"/>
      <c r="W6" s="32"/>
      <c r="X6" s="33"/>
    </row>
    <row r="7" spans="1:24" x14ac:dyDescent="0.3">
      <c r="A7" s="5" t="s">
        <v>25</v>
      </c>
      <c r="B7" s="12">
        <v>43106.480486111112</v>
      </c>
      <c r="C7" s="12">
        <v>43112.480480480473</v>
      </c>
      <c r="D7" s="6" t="s">
        <v>1023</v>
      </c>
      <c r="E7" s="6" t="s">
        <v>1029</v>
      </c>
      <c r="F7" s="6" t="s">
        <v>1973</v>
      </c>
      <c r="G7" s="6" t="s">
        <v>2407</v>
      </c>
      <c r="H7" s="6" t="s">
        <v>2409</v>
      </c>
      <c r="I7" s="6" t="s">
        <v>2413</v>
      </c>
      <c r="J7" s="15" t="s">
        <v>3896</v>
      </c>
      <c r="K7" s="15">
        <v>10758</v>
      </c>
      <c r="L7" s="6" t="s">
        <v>2419</v>
      </c>
      <c r="M7" s="6" t="s">
        <v>2428</v>
      </c>
      <c r="N7" s="6" t="s">
        <v>3372</v>
      </c>
      <c r="O7" s="6" t="s">
        <v>3378</v>
      </c>
      <c r="P7" s="6" t="s">
        <v>3391</v>
      </c>
      <c r="Q7" s="6">
        <v>4009.68</v>
      </c>
      <c r="R7" s="15">
        <v>8</v>
      </c>
      <c r="S7" s="20">
        <v>0.9</v>
      </c>
      <c r="T7" s="15">
        <v>1117.8</v>
      </c>
      <c r="V7" s="31"/>
      <c r="W7" s="32"/>
      <c r="X7" s="33"/>
    </row>
    <row r="8" spans="1:24" x14ac:dyDescent="0.3">
      <c r="A8" s="7" t="s">
        <v>26</v>
      </c>
      <c r="B8" s="13">
        <v>43107.576574074075</v>
      </c>
      <c r="C8" s="13">
        <v>43108.576576576583</v>
      </c>
      <c r="D8" s="8" t="s">
        <v>1021</v>
      </c>
      <c r="E8" s="8" t="s">
        <v>1030</v>
      </c>
      <c r="F8" s="8" t="s">
        <v>1974</v>
      </c>
      <c r="G8" s="8" t="s">
        <v>2406</v>
      </c>
      <c r="H8" s="8" t="s">
        <v>2409</v>
      </c>
      <c r="I8" s="8" t="s">
        <v>2414</v>
      </c>
      <c r="J8" s="16" t="s">
        <v>3896</v>
      </c>
      <c r="K8" s="16">
        <v>23927</v>
      </c>
      <c r="L8" s="8" t="s">
        <v>2421</v>
      </c>
      <c r="M8" s="8" t="s">
        <v>2429</v>
      </c>
      <c r="N8" s="8" t="s">
        <v>3373</v>
      </c>
      <c r="O8" s="8" t="s">
        <v>3379</v>
      </c>
      <c r="P8" s="8" t="s">
        <v>3392</v>
      </c>
      <c r="Q8" s="8">
        <v>2987.98</v>
      </c>
      <c r="R8" s="16">
        <v>13</v>
      </c>
      <c r="S8" s="21">
        <v>0.9</v>
      </c>
      <c r="T8" s="16">
        <v>-252.9</v>
      </c>
      <c r="V8" s="31"/>
      <c r="W8" s="32"/>
      <c r="X8" s="33"/>
    </row>
    <row r="9" spans="1:24" x14ac:dyDescent="0.3">
      <c r="A9" s="5" t="s">
        <v>27</v>
      </c>
      <c r="B9" s="12">
        <v>43108.672673611109</v>
      </c>
      <c r="C9" s="12">
        <v>43111.672672672663</v>
      </c>
      <c r="D9" s="6" t="s">
        <v>1020</v>
      </c>
      <c r="E9" s="6" t="s">
        <v>1031</v>
      </c>
      <c r="F9" s="6" t="s">
        <v>1975</v>
      </c>
      <c r="G9" s="6" t="s">
        <v>2407</v>
      </c>
      <c r="H9" s="6" t="s">
        <v>2409</v>
      </c>
      <c r="I9" s="6" t="s">
        <v>2415</v>
      </c>
      <c r="J9" s="15" t="s">
        <v>3892</v>
      </c>
      <c r="K9" s="15">
        <v>43182</v>
      </c>
      <c r="L9" s="6" t="s">
        <v>2419</v>
      </c>
      <c r="M9" s="6" t="s">
        <v>2430</v>
      </c>
      <c r="N9" s="6" t="s">
        <v>3372</v>
      </c>
      <c r="O9" s="6" t="s">
        <v>3376</v>
      </c>
      <c r="P9" s="6" t="s">
        <v>3393</v>
      </c>
      <c r="Q9" s="6">
        <v>593.22</v>
      </c>
      <c r="R9" s="15">
        <v>14</v>
      </c>
      <c r="S9" s="20">
        <v>0.85</v>
      </c>
      <c r="T9" s="15">
        <v>260.63</v>
      </c>
      <c r="V9" s="31"/>
      <c r="W9" s="32"/>
      <c r="X9" s="33"/>
    </row>
    <row r="10" spans="1:24" x14ac:dyDescent="0.3">
      <c r="A10" s="7" t="s">
        <v>28</v>
      </c>
      <c r="B10" s="13">
        <v>43109.768773148149</v>
      </c>
      <c r="C10" s="13">
        <v>43110.768768768758</v>
      </c>
      <c r="D10" s="8" t="s">
        <v>1022</v>
      </c>
      <c r="E10" s="8" t="s">
        <v>1032</v>
      </c>
      <c r="F10" s="8" t="s">
        <v>1976</v>
      </c>
      <c r="G10" s="8" t="s">
        <v>2407</v>
      </c>
      <c r="H10" s="8" t="s">
        <v>2409</v>
      </c>
      <c r="I10" s="8" t="s">
        <v>2415</v>
      </c>
      <c r="J10" s="16" t="s">
        <v>3897</v>
      </c>
      <c r="K10" s="16">
        <v>53084</v>
      </c>
      <c r="L10" s="8" t="s">
        <v>2421</v>
      </c>
      <c r="M10" s="8" t="s">
        <v>2431</v>
      </c>
      <c r="N10" s="8" t="s">
        <v>3373</v>
      </c>
      <c r="O10" s="8" t="s">
        <v>3380</v>
      </c>
      <c r="P10" s="8" t="s">
        <v>3394</v>
      </c>
      <c r="Q10" s="8">
        <v>4381.8</v>
      </c>
      <c r="R10" s="16">
        <v>9</v>
      </c>
      <c r="S10" s="21">
        <v>0.89</v>
      </c>
      <c r="T10" s="16">
        <v>1286.3499999999999</v>
      </c>
      <c r="V10" s="31"/>
      <c r="W10" s="32"/>
      <c r="X10" s="33"/>
    </row>
    <row r="11" spans="1:24" x14ac:dyDescent="0.3">
      <c r="A11" s="5" t="s">
        <v>29</v>
      </c>
      <c r="B11" s="12">
        <v>43110.864861111113</v>
      </c>
      <c r="C11" s="12">
        <v>43112.86486486486</v>
      </c>
      <c r="D11" s="6" t="s">
        <v>1020</v>
      </c>
      <c r="E11" s="6" t="s">
        <v>1033</v>
      </c>
      <c r="F11" s="6" t="s">
        <v>1977</v>
      </c>
      <c r="G11" s="6" t="s">
        <v>2407</v>
      </c>
      <c r="H11" s="6" t="s">
        <v>2409</v>
      </c>
      <c r="I11" s="6" t="s">
        <v>2412</v>
      </c>
      <c r="J11" s="15" t="s">
        <v>3898</v>
      </c>
      <c r="K11" s="15">
        <v>81616</v>
      </c>
      <c r="L11" s="6" t="s">
        <v>2421</v>
      </c>
      <c r="M11" s="6" t="s">
        <v>2432</v>
      </c>
      <c r="N11" s="6" t="s">
        <v>3372</v>
      </c>
      <c r="O11" s="6" t="s">
        <v>3378</v>
      </c>
      <c r="P11" s="6" t="s">
        <v>3395</v>
      </c>
      <c r="Q11" s="6">
        <v>648.65</v>
      </c>
      <c r="R11" s="15">
        <v>1</v>
      </c>
      <c r="S11" s="20">
        <v>0.27</v>
      </c>
      <c r="T11" s="15">
        <v>370.21</v>
      </c>
      <c r="V11" s="31"/>
      <c r="W11" s="32"/>
      <c r="X11" s="33"/>
    </row>
    <row r="12" spans="1:24" x14ac:dyDescent="0.3">
      <c r="A12" s="7" t="s">
        <v>30</v>
      </c>
      <c r="B12" s="13">
        <v>43111.960960648146</v>
      </c>
      <c r="C12" s="13">
        <v>43117.960960960962</v>
      </c>
      <c r="D12" s="8" t="s">
        <v>1021</v>
      </c>
      <c r="E12" s="8" t="s">
        <v>1034</v>
      </c>
      <c r="F12" s="8" t="s">
        <v>1978</v>
      </c>
      <c r="G12" s="8" t="s">
        <v>2408</v>
      </c>
      <c r="H12" s="8" t="s">
        <v>2409</v>
      </c>
      <c r="I12" s="8" t="s">
        <v>2416</v>
      </c>
      <c r="J12" s="16" t="s">
        <v>2410</v>
      </c>
      <c r="K12" s="16">
        <v>71497</v>
      </c>
      <c r="L12" s="8" t="s">
        <v>2422</v>
      </c>
      <c r="M12" s="8" t="s">
        <v>2433</v>
      </c>
      <c r="N12" s="8" t="s">
        <v>3373</v>
      </c>
      <c r="O12" s="8" t="s">
        <v>3381</v>
      </c>
      <c r="P12" s="8" t="s">
        <v>3396</v>
      </c>
      <c r="Q12" s="8">
        <v>207.48</v>
      </c>
      <c r="R12" s="16">
        <v>11</v>
      </c>
      <c r="S12" s="21">
        <v>0.75</v>
      </c>
      <c r="T12" s="16">
        <v>35.380000000000003</v>
      </c>
      <c r="V12" s="31"/>
      <c r="W12" s="32"/>
      <c r="X12" s="33"/>
    </row>
    <row r="13" spans="1:24" x14ac:dyDescent="0.3">
      <c r="A13" s="5" t="s">
        <v>31</v>
      </c>
      <c r="B13" s="12">
        <v>43113.057060185187</v>
      </c>
      <c r="C13" s="12">
        <v>43118.057057057049</v>
      </c>
      <c r="D13" s="6" t="s">
        <v>1022</v>
      </c>
      <c r="E13" s="6" t="s">
        <v>1035</v>
      </c>
      <c r="F13" s="6" t="s">
        <v>1979</v>
      </c>
      <c r="G13" s="6" t="s">
        <v>2408</v>
      </c>
      <c r="H13" s="6" t="s">
        <v>2409</v>
      </c>
      <c r="I13" s="6" t="s">
        <v>2414</v>
      </c>
      <c r="J13" s="15" t="s">
        <v>3891</v>
      </c>
      <c r="K13" s="15">
        <v>73681</v>
      </c>
      <c r="L13" s="6" t="s">
        <v>2421</v>
      </c>
      <c r="M13" s="6" t="s">
        <v>2434</v>
      </c>
      <c r="N13" s="6" t="s">
        <v>3371</v>
      </c>
      <c r="O13" s="6" t="s">
        <v>3375</v>
      </c>
      <c r="P13" s="6" t="s">
        <v>3397</v>
      </c>
      <c r="Q13" s="6">
        <v>3985.94</v>
      </c>
      <c r="R13" s="15">
        <v>9</v>
      </c>
      <c r="S13" s="20">
        <v>0.43</v>
      </c>
      <c r="T13" s="15">
        <v>-634.44000000000005</v>
      </c>
      <c r="V13" s="31"/>
      <c r="W13" s="32"/>
      <c r="X13" s="33"/>
    </row>
    <row r="14" spans="1:24" x14ac:dyDescent="0.3">
      <c r="A14" s="7" t="s">
        <v>32</v>
      </c>
      <c r="B14" s="13">
        <v>43114.153148148151</v>
      </c>
      <c r="C14" s="13">
        <v>43118.153153153151</v>
      </c>
      <c r="D14" s="8" t="s">
        <v>1020</v>
      </c>
      <c r="E14" s="8" t="s">
        <v>1036</v>
      </c>
      <c r="F14" s="8" t="s">
        <v>1980</v>
      </c>
      <c r="G14" s="8" t="s">
        <v>2406</v>
      </c>
      <c r="H14" s="8" t="s">
        <v>2409</v>
      </c>
      <c r="I14" s="8" t="s">
        <v>2414</v>
      </c>
      <c r="J14" s="16" t="s">
        <v>3892</v>
      </c>
      <c r="K14" s="16">
        <v>74820</v>
      </c>
      <c r="L14" s="8" t="s">
        <v>2420</v>
      </c>
      <c r="M14" s="8" t="s">
        <v>2435</v>
      </c>
      <c r="N14" s="8" t="s">
        <v>3373</v>
      </c>
      <c r="O14" s="8" t="s">
        <v>3379</v>
      </c>
      <c r="P14" s="8" t="s">
        <v>3398</v>
      </c>
      <c r="Q14" s="8">
        <v>2947.05</v>
      </c>
      <c r="R14" s="16">
        <v>5</v>
      </c>
      <c r="S14" s="21">
        <v>0.53</v>
      </c>
      <c r="T14" s="16">
        <v>1205.02</v>
      </c>
      <c r="V14" s="31"/>
      <c r="W14" s="32"/>
      <c r="X14" s="33"/>
    </row>
    <row r="15" spans="1:24" x14ac:dyDescent="0.3">
      <c r="A15" s="5" t="s">
        <v>33</v>
      </c>
      <c r="B15" s="12">
        <v>43115.249247685184</v>
      </c>
      <c r="C15" s="12">
        <v>43117.249249249253</v>
      </c>
      <c r="D15" s="6" t="s">
        <v>1022</v>
      </c>
      <c r="E15" s="6" t="s">
        <v>1037</v>
      </c>
      <c r="F15" s="6" t="s">
        <v>1981</v>
      </c>
      <c r="G15" s="6" t="s">
        <v>2407</v>
      </c>
      <c r="H15" s="6" t="s">
        <v>2409</v>
      </c>
      <c r="I15" s="6" t="s">
        <v>2413</v>
      </c>
      <c r="J15" s="15" t="s">
        <v>3898</v>
      </c>
      <c r="K15" s="15">
        <v>68286</v>
      </c>
      <c r="L15" s="6" t="s">
        <v>2420</v>
      </c>
      <c r="M15" s="6" t="s">
        <v>2436</v>
      </c>
      <c r="N15" s="6" t="s">
        <v>3372</v>
      </c>
      <c r="O15" s="6" t="s">
        <v>3378</v>
      </c>
      <c r="P15" s="6" t="s">
        <v>3399</v>
      </c>
      <c r="Q15" s="6">
        <v>1014.44</v>
      </c>
      <c r="R15" s="15">
        <v>8</v>
      </c>
      <c r="S15" s="20">
        <v>0.17</v>
      </c>
      <c r="T15" s="15">
        <v>150.80000000000001</v>
      </c>
      <c r="V15" s="31"/>
      <c r="W15" s="32"/>
      <c r="X15" s="33"/>
    </row>
    <row r="16" spans="1:24" x14ac:dyDescent="0.3">
      <c r="A16" s="7" t="s">
        <v>34</v>
      </c>
      <c r="B16" s="13">
        <v>43116.345347222225</v>
      </c>
      <c r="C16" s="13">
        <v>43119.345345345333</v>
      </c>
      <c r="D16" s="8" t="s">
        <v>1021</v>
      </c>
      <c r="E16" s="8" t="s">
        <v>1038</v>
      </c>
      <c r="F16" s="8" t="s">
        <v>1982</v>
      </c>
      <c r="G16" s="8" t="s">
        <v>2406</v>
      </c>
      <c r="H16" s="8" t="s">
        <v>2409</v>
      </c>
      <c r="I16" s="8" t="s">
        <v>2411</v>
      </c>
      <c r="J16" s="16" t="s">
        <v>3894</v>
      </c>
      <c r="K16" s="16">
        <v>80824</v>
      </c>
      <c r="L16" s="8" t="s">
        <v>2421</v>
      </c>
      <c r="M16" s="8" t="s">
        <v>2437</v>
      </c>
      <c r="N16" s="8" t="s">
        <v>3372</v>
      </c>
      <c r="O16" s="8" t="s">
        <v>3376</v>
      </c>
      <c r="P16" s="8" t="s">
        <v>3400</v>
      </c>
      <c r="Q16" s="8">
        <v>1773.64</v>
      </c>
      <c r="R16" s="16">
        <v>3</v>
      </c>
      <c r="S16" s="21">
        <v>0.6</v>
      </c>
      <c r="T16" s="16">
        <v>310.24</v>
      </c>
      <c r="V16" s="31"/>
      <c r="W16" s="32"/>
      <c r="X16" s="33"/>
    </row>
    <row r="17" spans="1:24" x14ac:dyDescent="0.3">
      <c r="A17" s="5" t="s">
        <v>35</v>
      </c>
      <c r="B17" s="12">
        <v>43117.441446759258</v>
      </c>
      <c r="C17" s="12">
        <v>43122.441441441442</v>
      </c>
      <c r="D17" s="6" t="s">
        <v>1020</v>
      </c>
      <c r="E17" s="6" t="s">
        <v>1039</v>
      </c>
      <c r="F17" s="6" t="s">
        <v>1983</v>
      </c>
      <c r="G17" s="6" t="s">
        <v>2407</v>
      </c>
      <c r="H17" s="6" t="s">
        <v>2409</v>
      </c>
      <c r="I17" s="6" t="s">
        <v>2413</v>
      </c>
      <c r="J17" s="15" t="s">
        <v>3897</v>
      </c>
      <c r="K17" s="15">
        <v>39840</v>
      </c>
      <c r="L17" s="6" t="s">
        <v>2422</v>
      </c>
      <c r="M17" s="6" t="s">
        <v>2438</v>
      </c>
      <c r="N17" s="6" t="s">
        <v>3373</v>
      </c>
      <c r="O17" s="6" t="s">
        <v>3381</v>
      </c>
      <c r="P17" s="6" t="s">
        <v>3401</v>
      </c>
      <c r="Q17" s="6">
        <v>1683.64</v>
      </c>
      <c r="R17" s="15">
        <v>12</v>
      </c>
      <c r="S17" s="20">
        <v>0.59</v>
      </c>
      <c r="T17" s="15">
        <v>184.95</v>
      </c>
      <c r="V17" s="31"/>
      <c r="W17" s="32"/>
      <c r="X17" s="33"/>
    </row>
    <row r="18" spans="1:24" x14ac:dyDescent="0.3">
      <c r="A18" s="7" t="s">
        <v>36</v>
      </c>
      <c r="B18" s="13">
        <v>43118.537534722222</v>
      </c>
      <c r="C18" s="13">
        <v>43123.537537537537</v>
      </c>
      <c r="D18" s="8" t="s">
        <v>1020</v>
      </c>
      <c r="E18" s="8" t="s">
        <v>1040</v>
      </c>
      <c r="F18" s="8" t="s">
        <v>1984</v>
      </c>
      <c r="G18" s="8" t="s">
        <v>2408</v>
      </c>
      <c r="H18" s="8" t="s">
        <v>2409</v>
      </c>
      <c r="I18" s="8" t="s">
        <v>2413</v>
      </c>
      <c r="J18" s="16" t="s">
        <v>3894</v>
      </c>
      <c r="K18" s="16">
        <v>54046</v>
      </c>
      <c r="L18" s="8" t="s">
        <v>2422</v>
      </c>
      <c r="M18" s="8" t="s">
        <v>2439</v>
      </c>
      <c r="N18" s="8" t="s">
        <v>3371</v>
      </c>
      <c r="O18" s="8" t="s">
        <v>3382</v>
      </c>
      <c r="P18" s="8" t="s">
        <v>3402</v>
      </c>
      <c r="Q18" s="8">
        <v>1391.2</v>
      </c>
      <c r="R18" s="16">
        <v>4</v>
      </c>
      <c r="S18" s="21">
        <v>0.43</v>
      </c>
      <c r="T18" s="16">
        <v>-96.28</v>
      </c>
      <c r="V18" s="31"/>
      <c r="W18" s="32"/>
      <c r="X18" s="33"/>
    </row>
    <row r="19" spans="1:24" x14ac:dyDescent="0.3">
      <c r="A19" s="5" t="s">
        <v>37</v>
      </c>
      <c r="B19" s="12">
        <v>43119.633634259262</v>
      </c>
      <c r="C19" s="12">
        <v>43121.633633633617</v>
      </c>
      <c r="D19" s="6" t="s">
        <v>1022</v>
      </c>
      <c r="E19" s="6" t="s">
        <v>1041</v>
      </c>
      <c r="F19" s="6" t="s">
        <v>1985</v>
      </c>
      <c r="G19" s="6" t="s">
        <v>2406</v>
      </c>
      <c r="H19" s="6" t="s">
        <v>2409</v>
      </c>
      <c r="I19" s="6" t="s">
        <v>2416</v>
      </c>
      <c r="J19" s="15" t="s">
        <v>3894</v>
      </c>
      <c r="K19" s="15">
        <v>66540</v>
      </c>
      <c r="L19" s="6" t="s">
        <v>2422</v>
      </c>
      <c r="M19" s="6" t="s">
        <v>2440</v>
      </c>
      <c r="N19" s="6" t="s">
        <v>3371</v>
      </c>
      <c r="O19" s="6" t="s">
        <v>3383</v>
      </c>
      <c r="P19" s="6" t="s">
        <v>3403</v>
      </c>
      <c r="Q19" s="6">
        <v>2926.7</v>
      </c>
      <c r="R19" s="15">
        <v>12</v>
      </c>
      <c r="S19" s="20">
        <v>0.05</v>
      </c>
      <c r="T19" s="15">
        <v>1580.68</v>
      </c>
      <c r="V19" s="31"/>
      <c r="W19" s="32"/>
      <c r="X19" s="33"/>
    </row>
    <row r="20" spans="1:24" x14ac:dyDescent="0.3">
      <c r="A20" s="7" t="s">
        <v>38</v>
      </c>
      <c r="B20" s="13">
        <v>43120.729733796295</v>
      </c>
      <c r="C20" s="13">
        <v>43126.729729729719</v>
      </c>
      <c r="D20" s="8" t="s">
        <v>1020</v>
      </c>
      <c r="E20" s="8" t="s">
        <v>1042</v>
      </c>
      <c r="F20" s="8" t="s">
        <v>1986</v>
      </c>
      <c r="G20" s="8" t="s">
        <v>2408</v>
      </c>
      <c r="H20" s="8" t="s">
        <v>2409</v>
      </c>
      <c r="I20" s="8" t="s">
        <v>2415</v>
      </c>
      <c r="J20" s="16" t="s">
        <v>2410</v>
      </c>
      <c r="K20" s="16">
        <v>21785</v>
      </c>
      <c r="L20" s="8" t="s">
        <v>2422</v>
      </c>
      <c r="M20" s="8" t="s">
        <v>2441</v>
      </c>
      <c r="N20" s="8" t="s">
        <v>3371</v>
      </c>
      <c r="O20" s="8" t="s">
        <v>3382</v>
      </c>
      <c r="P20" s="8" t="s">
        <v>3404</v>
      </c>
      <c r="Q20" s="8">
        <v>541.89</v>
      </c>
      <c r="R20" s="16">
        <v>9</v>
      </c>
      <c r="S20" s="21">
        <v>0.52</v>
      </c>
      <c r="T20" s="16">
        <v>173.98</v>
      </c>
      <c r="V20" s="31"/>
      <c r="W20" s="32"/>
      <c r="X20" s="33"/>
    </row>
    <row r="21" spans="1:24" x14ac:dyDescent="0.3">
      <c r="A21" s="5" t="s">
        <v>39</v>
      </c>
      <c r="B21" s="12">
        <v>43121.825821759259</v>
      </c>
      <c r="C21" s="12">
        <v>43123.825825825821</v>
      </c>
      <c r="D21" s="6" t="s">
        <v>1023</v>
      </c>
      <c r="E21" s="6" t="s">
        <v>1043</v>
      </c>
      <c r="F21" s="6" t="s">
        <v>1987</v>
      </c>
      <c r="G21" s="6" t="s">
        <v>2407</v>
      </c>
      <c r="H21" s="6" t="s">
        <v>2409</v>
      </c>
      <c r="I21" s="6" t="s">
        <v>2411</v>
      </c>
      <c r="J21" s="15" t="s">
        <v>3894</v>
      </c>
      <c r="K21" s="15">
        <v>42575</v>
      </c>
      <c r="L21" s="6" t="s">
        <v>2419</v>
      </c>
      <c r="M21" s="6" t="s">
        <v>2442</v>
      </c>
      <c r="N21" s="6" t="s">
        <v>3372</v>
      </c>
      <c r="O21" s="6" t="s">
        <v>3384</v>
      </c>
      <c r="P21" s="6" t="s">
        <v>3405</v>
      </c>
      <c r="Q21" s="6">
        <v>1603.19</v>
      </c>
      <c r="R21" s="15">
        <v>14</v>
      </c>
      <c r="S21" s="20">
        <v>0.33</v>
      </c>
      <c r="T21" s="15">
        <v>773.11</v>
      </c>
      <c r="V21" s="34"/>
      <c r="W21" s="35"/>
      <c r="X21" s="36"/>
    </row>
    <row r="22" spans="1:24" x14ac:dyDescent="0.3">
      <c r="A22" s="7" t="s">
        <v>40</v>
      </c>
      <c r="B22" s="13">
        <v>43122.9219212963</v>
      </c>
      <c r="C22" s="13">
        <v>43125.921921921923</v>
      </c>
      <c r="D22" s="8" t="s">
        <v>1022</v>
      </c>
      <c r="E22" s="8" t="s">
        <v>1044</v>
      </c>
      <c r="F22" s="8" t="s">
        <v>1988</v>
      </c>
      <c r="G22" s="8" t="s">
        <v>2407</v>
      </c>
      <c r="H22" s="8" t="s">
        <v>2409</v>
      </c>
      <c r="I22" s="8" t="s">
        <v>2416</v>
      </c>
      <c r="J22" s="16" t="s">
        <v>3895</v>
      </c>
      <c r="K22" s="16">
        <v>23068</v>
      </c>
      <c r="L22" s="8" t="s">
        <v>2420</v>
      </c>
      <c r="M22" s="8" t="s">
        <v>2443</v>
      </c>
      <c r="N22" s="8" t="s">
        <v>3373</v>
      </c>
      <c r="O22" s="8" t="s">
        <v>3379</v>
      </c>
      <c r="P22" s="8" t="s">
        <v>3406</v>
      </c>
      <c r="Q22" s="8">
        <v>4988.8599999999997</v>
      </c>
      <c r="R22" s="16">
        <v>6</v>
      </c>
      <c r="S22" s="21">
        <v>0.42</v>
      </c>
      <c r="T22" s="16">
        <v>766.98</v>
      </c>
    </row>
    <row r="23" spans="1:24" x14ac:dyDescent="0.3">
      <c r="A23" s="5" t="s">
        <v>41</v>
      </c>
      <c r="B23" s="12">
        <v>43124.018020833333</v>
      </c>
      <c r="C23" s="12">
        <v>43127.01801801801</v>
      </c>
      <c r="D23" s="6" t="s">
        <v>1023</v>
      </c>
      <c r="E23" s="6" t="s">
        <v>1045</v>
      </c>
      <c r="F23" s="6" t="s">
        <v>1989</v>
      </c>
      <c r="G23" s="6" t="s">
        <v>2408</v>
      </c>
      <c r="H23" s="6" t="s">
        <v>2409</v>
      </c>
      <c r="I23" s="6" t="s">
        <v>2414</v>
      </c>
      <c r="J23" s="15" t="s">
        <v>3894</v>
      </c>
      <c r="K23" s="15">
        <v>68477</v>
      </c>
      <c r="L23" s="6" t="s">
        <v>2422</v>
      </c>
      <c r="M23" s="6" t="s">
        <v>2444</v>
      </c>
      <c r="N23" s="6" t="s">
        <v>3373</v>
      </c>
      <c r="O23" s="6" t="s">
        <v>3380</v>
      </c>
      <c r="P23" s="6" t="s">
        <v>3407</v>
      </c>
      <c r="Q23" s="6">
        <v>3611.12</v>
      </c>
      <c r="R23" s="15">
        <v>13</v>
      </c>
      <c r="S23" s="20">
        <v>0.75</v>
      </c>
      <c r="T23" s="15">
        <v>2092.2800000000002</v>
      </c>
    </row>
    <row r="24" spans="1:24" x14ac:dyDescent="0.3">
      <c r="A24" s="7" t="s">
        <v>42</v>
      </c>
      <c r="B24" s="13">
        <v>43125.114108796297</v>
      </c>
      <c r="C24" s="13">
        <v>43126.114114114112</v>
      </c>
      <c r="D24" s="8" t="s">
        <v>1022</v>
      </c>
      <c r="E24" s="8" t="s">
        <v>1046</v>
      </c>
      <c r="F24" s="8" t="s">
        <v>1990</v>
      </c>
      <c r="G24" s="8" t="s">
        <v>2408</v>
      </c>
      <c r="H24" s="8" t="s">
        <v>2409</v>
      </c>
      <c r="I24" s="8" t="s">
        <v>2417</v>
      </c>
      <c r="J24" s="16" t="s">
        <v>3891</v>
      </c>
      <c r="K24" s="16">
        <v>93391</v>
      </c>
      <c r="L24" s="8" t="s">
        <v>2419</v>
      </c>
      <c r="M24" s="8" t="s">
        <v>2445</v>
      </c>
      <c r="N24" s="8" t="s">
        <v>3371</v>
      </c>
      <c r="O24" s="8" t="s">
        <v>3383</v>
      </c>
      <c r="P24" s="8" t="s">
        <v>3408</v>
      </c>
      <c r="Q24" s="8">
        <v>1328.03</v>
      </c>
      <c r="R24" s="16">
        <v>2</v>
      </c>
      <c r="S24" s="21">
        <v>0.35</v>
      </c>
      <c r="T24" s="16">
        <v>546.97</v>
      </c>
    </row>
    <row r="25" spans="1:24" x14ac:dyDescent="0.3">
      <c r="A25" s="5" t="s">
        <v>43</v>
      </c>
      <c r="B25" s="12">
        <v>43126.21020833333</v>
      </c>
      <c r="C25" s="12">
        <v>43130.210210210207</v>
      </c>
      <c r="D25" s="6" t="s">
        <v>1020</v>
      </c>
      <c r="E25" s="6" t="s">
        <v>1047</v>
      </c>
      <c r="F25" s="6" t="s">
        <v>1991</v>
      </c>
      <c r="G25" s="6" t="s">
        <v>2407</v>
      </c>
      <c r="H25" s="6" t="s">
        <v>2409</v>
      </c>
      <c r="I25" s="6" t="s">
        <v>2413</v>
      </c>
      <c r="J25" s="15" t="s">
        <v>3896</v>
      </c>
      <c r="K25" s="15">
        <v>86334</v>
      </c>
      <c r="L25" s="6" t="s">
        <v>2419</v>
      </c>
      <c r="M25" s="6" t="s">
        <v>2446</v>
      </c>
      <c r="N25" s="6" t="s">
        <v>3372</v>
      </c>
      <c r="O25" s="6" t="s">
        <v>3378</v>
      </c>
      <c r="P25" s="6" t="s">
        <v>3409</v>
      </c>
      <c r="Q25" s="6">
        <v>4029.01</v>
      </c>
      <c r="R25" s="15">
        <v>1</v>
      </c>
      <c r="S25" s="20">
        <v>0.76</v>
      </c>
      <c r="T25" s="15">
        <v>669.35</v>
      </c>
    </row>
    <row r="26" spans="1:24" x14ac:dyDescent="0.3">
      <c r="A26" s="7" t="s">
        <v>44</v>
      </c>
      <c r="B26" s="13">
        <v>43127.306307870371</v>
      </c>
      <c r="C26" s="13">
        <v>43132.306306306287</v>
      </c>
      <c r="D26" s="8" t="s">
        <v>1020</v>
      </c>
      <c r="E26" s="8" t="s">
        <v>1048</v>
      </c>
      <c r="F26" s="8" t="s">
        <v>1992</v>
      </c>
      <c r="G26" s="8" t="s">
        <v>2407</v>
      </c>
      <c r="H26" s="8" t="s">
        <v>2409</v>
      </c>
      <c r="I26" s="8" t="s">
        <v>2413</v>
      </c>
      <c r="J26" s="16" t="s">
        <v>3898</v>
      </c>
      <c r="K26" s="16">
        <v>64616</v>
      </c>
      <c r="L26" s="8" t="s">
        <v>2421</v>
      </c>
      <c r="M26" s="8" t="s">
        <v>2447</v>
      </c>
      <c r="N26" s="8" t="s">
        <v>3371</v>
      </c>
      <c r="O26" s="8" t="s">
        <v>3383</v>
      </c>
      <c r="P26" s="8" t="s">
        <v>3410</v>
      </c>
      <c r="Q26" s="8">
        <v>4488.28</v>
      </c>
      <c r="R26" s="16">
        <v>4</v>
      </c>
      <c r="S26" s="21">
        <v>0.65</v>
      </c>
      <c r="T26" s="16">
        <v>2185.2199999999998</v>
      </c>
    </row>
    <row r="27" spans="1:24" x14ac:dyDescent="0.3">
      <c r="A27" s="5" t="s">
        <v>45</v>
      </c>
      <c r="B27" s="12">
        <v>43128.402407407404</v>
      </c>
      <c r="C27" s="12">
        <v>43132.402402402397</v>
      </c>
      <c r="D27" s="6" t="s">
        <v>1020</v>
      </c>
      <c r="E27" s="6" t="s">
        <v>1049</v>
      </c>
      <c r="F27" s="6" t="s">
        <v>1993</v>
      </c>
      <c r="G27" s="6" t="s">
        <v>2406</v>
      </c>
      <c r="H27" s="6" t="s">
        <v>2409</v>
      </c>
      <c r="I27" s="6" t="s">
        <v>2410</v>
      </c>
      <c r="J27" s="15" t="s">
        <v>3895</v>
      </c>
      <c r="K27" s="15">
        <v>30170</v>
      </c>
      <c r="L27" s="6" t="s">
        <v>2421</v>
      </c>
      <c r="M27" s="6" t="s">
        <v>2448</v>
      </c>
      <c r="N27" s="6" t="s">
        <v>3372</v>
      </c>
      <c r="O27" s="6" t="s">
        <v>3377</v>
      </c>
      <c r="P27" s="6" t="s">
        <v>3411</v>
      </c>
      <c r="Q27" s="6">
        <v>1295.8699999999999</v>
      </c>
      <c r="R27" s="15">
        <v>4</v>
      </c>
      <c r="S27" s="20">
        <v>0.62</v>
      </c>
      <c r="T27" s="15">
        <v>520.75</v>
      </c>
    </row>
    <row r="28" spans="1:24" x14ac:dyDescent="0.3">
      <c r="A28" s="7" t="s">
        <v>46</v>
      </c>
      <c r="B28" s="13">
        <v>43129.498495370368</v>
      </c>
      <c r="C28" s="13">
        <v>43130.498498498499</v>
      </c>
      <c r="D28" s="8" t="s">
        <v>1021</v>
      </c>
      <c r="E28" s="8" t="s">
        <v>1050</v>
      </c>
      <c r="F28" s="8" t="s">
        <v>1971</v>
      </c>
      <c r="G28" s="8" t="s">
        <v>2406</v>
      </c>
      <c r="H28" s="8" t="s">
        <v>2409</v>
      </c>
      <c r="I28" s="8" t="s">
        <v>2414</v>
      </c>
      <c r="J28" s="16" t="s">
        <v>3895</v>
      </c>
      <c r="K28" s="16">
        <v>20272</v>
      </c>
      <c r="L28" s="8" t="s">
        <v>2421</v>
      </c>
      <c r="M28" s="8" t="s">
        <v>2449</v>
      </c>
      <c r="N28" s="8" t="s">
        <v>3371</v>
      </c>
      <c r="O28" s="8" t="s">
        <v>3375</v>
      </c>
      <c r="P28" s="8" t="s">
        <v>3412</v>
      </c>
      <c r="Q28" s="8">
        <v>1821.31</v>
      </c>
      <c r="R28" s="16">
        <v>10</v>
      </c>
      <c r="S28" s="21">
        <v>0.75</v>
      </c>
      <c r="T28" s="16">
        <v>162.41999999999999</v>
      </c>
    </row>
    <row r="29" spans="1:24" x14ac:dyDescent="0.3">
      <c r="A29" s="5" t="s">
        <v>47</v>
      </c>
      <c r="B29" s="12">
        <v>43130.594594907408</v>
      </c>
      <c r="C29" s="12">
        <v>43132.594594594593</v>
      </c>
      <c r="D29" s="6" t="s">
        <v>1022</v>
      </c>
      <c r="E29" s="6" t="s">
        <v>1051</v>
      </c>
      <c r="F29" s="6" t="s">
        <v>1994</v>
      </c>
      <c r="G29" s="6" t="s">
        <v>2408</v>
      </c>
      <c r="H29" s="6" t="s">
        <v>2409</v>
      </c>
      <c r="I29" s="6" t="s">
        <v>2412</v>
      </c>
      <c r="J29" s="15" t="s">
        <v>3895</v>
      </c>
      <c r="K29" s="15">
        <v>69876</v>
      </c>
      <c r="L29" s="6" t="s">
        <v>2421</v>
      </c>
      <c r="M29" s="6" t="s">
        <v>2450</v>
      </c>
      <c r="N29" s="6" t="s">
        <v>3373</v>
      </c>
      <c r="O29" s="6" t="s">
        <v>3380</v>
      </c>
      <c r="P29" s="6" t="s">
        <v>3413</v>
      </c>
      <c r="Q29" s="6">
        <v>1565.56</v>
      </c>
      <c r="R29" s="15">
        <v>9</v>
      </c>
      <c r="S29" s="20">
        <v>0.13</v>
      </c>
      <c r="T29" s="15">
        <v>361.21</v>
      </c>
    </row>
    <row r="30" spans="1:24" x14ac:dyDescent="0.3">
      <c r="A30" s="7" t="s">
        <v>48</v>
      </c>
      <c r="B30" s="13">
        <v>43131.690694444442</v>
      </c>
      <c r="C30" s="13">
        <v>43132.690690690681</v>
      </c>
      <c r="D30" s="8" t="s">
        <v>1020</v>
      </c>
      <c r="E30" s="8" t="s">
        <v>1052</v>
      </c>
      <c r="F30" s="8" t="s">
        <v>1995</v>
      </c>
      <c r="G30" s="8" t="s">
        <v>2408</v>
      </c>
      <c r="H30" s="8" t="s">
        <v>2409</v>
      </c>
      <c r="I30" s="8" t="s">
        <v>2415</v>
      </c>
      <c r="J30" s="16" t="s">
        <v>3896</v>
      </c>
      <c r="K30" s="16">
        <v>45471</v>
      </c>
      <c r="L30" s="8" t="s">
        <v>2421</v>
      </c>
      <c r="M30" s="8" t="s">
        <v>2451</v>
      </c>
      <c r="N30" s="8" t="s">
        <v>3373</v>
      </c>
      <c r="O30" s="8" t="s">
        <v>3380</v>
      </c>
      <c r="P30" s="8" t="s">
        <v>3414</v>
      </c>
      <c r="Q30" s="8">
        <v>4402.1000000000004</v>
      </c>
      <c r="R30" s="16">
        <v>10</v>
      </c>
      <c r="S30" s="21">
        <v>0.04</v>
      </c>
      <c r="T30" s="16">
        <v>715.18</v>
      </c>
    </row>
    <row r="31" spans="1:24" x14ac:dyDescent="0.3">
      <c r="A31" s="5" t="s">
        <v>49</v>
      </c>
      <c r="B31" s="12">
        <v>43132.786782407406</v>
      </c>
      <c r="C31" s="12">
        <v>43135.786786786783</v>
      </c>
      <c r="D31" s="6" t="s">
        <v>1022</v>
      </c>
      <c r="E31" s="6" t="s">
        <v>1053</v>
      </c>
      <c r="F31" s="6" t="s">
        <v>1996</v>
      </c>
      <c r="G31" s="6" t="s">
        <v>2406</v>
      </c>
      <c r="H31" s="6" t="s">
        <v>2409</v>
      </c>
      <c r="I31" s="6" t="s">
        <v>2413</v>
      </c>
      <c r="J31" s="15" t="s">
        <v>3894</v>
      </c>
      <c r="K31" s="15">
        <v>14688</v>
      </c>
      <c r="L31" s="6" t="s">
        <v>2421</v>
      </c>
      <c r="M31" s="6" t="s">
        <v>2452</v>
      </c>
      <c r="N31" s="6" t="s">
        <v>3372</v>
      </c>
      <c r="O31" s="6" t="s">
        <v>3376</v>
      </c>
      <c r="P31" s="6" t="s">
        <v>3415</v>
      </c>
      <c r="Q31" s="6">
        <v>3515.77</v>
      </c>
      <c r="R31" s="15">
        <v>10</v>
      </c>
      <c r="S31" s="20">
        <v>0.14000000000000001</v>
      </c>
      <c r="T31" s="15">
        <v>1457.64</v>
      </c>
    </row>
    <row r="32" spans="1:24" x14ac:dyDescent="0.3">
      <c r="A32" s="7" t="s">
        <v>50</v>
      </c>
      <c r="B32" s="13">
        <v>43133.882881944446</v>
      </c>
      <c r="C32" s="13">
        <v>43137.882882882877</v>
      </c>
      <c r="D32" s="8" t="s">
        <v>1020</v>
      </c>
      <c r="E32" s="8" t="s">
        <v>1054</v>
      </c>
      <c r="F32" s="8" t="s">
        <v>1997</v>
      </c>
      <c r="G32" s="8" t="s">
        <v>2406</v>
      </c>
      <c r="H32" s="8" t="s">
        <v>2409</v>
      </c>
      <c r="I32" s="8" t="s">
        <v>2412</v>
      </c>
      <c r="J32" s="16" t="s">
        <v>3892</v>
      </c>
      <c r="K32" s="16">
        <v>25354</v>
      </c>
      <c r="L32" s="8" t="s">
        <v>2421</v>
      </c>
      <c r="M32" s="8" t="s">
        <v>2453</v>
      </c>
      <c r="N32" s="8" t="s">
        <v>3373</v>
      </c>
      <c r="O32" s="8" t="s">
        <v>3385</v>
      </c>
      <c r="P32" s="8" t="s">
        <v>3416</v>
      </c>
      <c r="Q32" s="8">
        <v>1584.93</v>
      </c>
      <c r="R32" s="16">
        <v>9</v>
      </c>
      <c r="S32" s="21">
        <v>0.25</v>
      </c>
      <c r="T32" s="16">
        <v>0.22</v>
      </c>
    </row>
    <row r="33" spans="1:20" x14ac:dyDescent="0.3">
      <c r="A33" s="5" t="s">
        <v>51</v>
      </c>
      <c r="B33" s="12">
        <v>43134.978981481479</v>
      </c>
      <c r="C33" s="12">
        <v>43138.978978978972</v>
      </c>
      <c r="D33" s="6" t="s">
        <v>1023</v>
      </c>
      <c r="E33" s="6" t="s">
        <v>1055</v>
      </c>
      <c r="F33" s="6" t="s">
        <v>1998</v>
      </c>
      <c r="G33" s="6" t="s">
        <v>2407</v>
      </c>
      <c r="H33" s="6" t="s">
        <v>2409</v>
      </c>
      <c r="I33" s="6" t="s">
        <v>2418</v>
      </c>
      <c r="J33" s="15" t="s">
        <v>3896</v>
      </c>
      <c r="K33" s="15">
        <v>66837</v>
      </c>
      <c r="L33" s="6" t="s">
        <v>2421</v>
      </c>
      <c r="M33" s="6" t="s">
        <v>2454</v>
      </c>
      <c r="N33" s="6" t="s">
        <v>3371</v>
      </c>
      <c r="O33" s="6" t="s">
        <v>3382</v>
      </c>
      <c r="P33" s="6" t="s">
        <v>3417</v>
      </c>
      <c r="Q33" s="6">
        <v>2319.8000000000002</v>
      </c>
      <c r="R33" s="15">
        <v>2</v>
      </c>
      <c r="S33" s="20">
        <v>0.04</v>
      </c>
      <c r="T33" s="15">
        <v>1373.4</v>
      </c>
    </row>
    <row r="34" spans="1:20" x14ac:dyDescent="0.3">
      <c r="A34" s="7" t="s">
        <v>52</v>
      </c>
      <c r="B34" s="13">
        <v>43136.075069444443</v>
      </c>
      <c r="C34" s="13">
        <v>43140.075075075067</v>
      </c>
      <c r="D34" s="8" t="s">
        <v>1022</v>
      </c>
      <c r="E34" s="8" t="s">
        <v>1056</v>
      </c>
      <c r="F34" s="8" t="s">
        <v>1999</v>
      </c>
      <c r="G34" s="8" t="s">
        <v>2407</v>
      </c>
      <c r="H34" s="8" t="s">
        <v>2409</v>
      </c>
      <c r="I34" s="8" t="s">
        <v>2413</v>
      </c>
      <c r="J34" s="16" t="s">
        <v>2410</v>
      </c>
      <c r="K34" s="16">
        <v>99898</v>
      </c>
      <c r="L34" s="8" t="s">
        <v>2420</v>
      </c>
      <c r="M34" s="8" t="s">
        <v>2455</v>
      </c>
      <c r="N34" s="8" t="s">
        <v>3371</v>
      </c>
      <c r="O34" s="8" t="s">
        <v>3382</v>
      </c>
      <c r="P34" s="8" t="s">
        <v>3418</v>
      </c>
      <c r="Q34" s="8">
        <v>2834.68</v>
      </c>
      <c r="R34" s="16">
        <v>9</v>
      </c>
      <c r="S34" s="21">
        <v>0.83</v>
      </c>
      <c r="T34" s="16">
        <v>1224.5899999999999</v>
      </c>
    </row>
    <row r="35" spans="1:20" x14ac:dyDescent="0.3">
      <c r="A35" s="5" t="s">
        <v>53</v>
      </c>
      <c r="B35" s="12">
        <v>43137.171168981484</v>
      </c>
      <c r="C35" s="12">
        <v>43142.171171171169</v>
      </c>
      <c r="D35" s="6" t="s">
        <v>1022</v>
      </c>
      <c r="E35" s="6" t="s">
        <v>1057</v>
      </c>
      <c r="F35" s="6" t="s">
        <v>2000</v>
      </c>
      <c r="G35" s="6" t="s">
        <v>2406</v>
      </c>
      <c r="H35" s="6" t="s">
        <v>2409</v>
      </c>
      <c r="I35" s="6" t="s">
        <v>2417</v>
      </c>
      <c r="J35" s="15" t="s">
        <v>3891</v>
      </c>
      <c r="K35" s="15">
        <v>13096</v>
      </c>
      <c r="L35" s="6" t="s">
        <v>2419</v>
      </c>
      <c r="M35" s="6" t="s">
        <v>2456</v>
      </c>
      <c r="N35" s="6" t="s">
        <v>3373</v>
      </c>
      <c r="O35" s="6" t="s">
        <v>3379</v>
      </c>
      <c r="P35" s="6" t="s">
        <v>3405</v>
      </c>
      <c r="Q35" s="6">
        <v>385.95</v>
      </c>
      <c r="R35" s="15">
        <v>13</v>
      </c>
      <c r="S35" s="20">
        <v>0.5</v>
      </c>
      <c r="T35" s="15">
        <v>89.96</v>
      </c>
    </row>
    <row r="36" spans="1:20" x14ac:dyDescent="0.3">
      <c r="A36" s="7" t="s">
        <v>54</v>
      </c>
      <c r="B36" s="13">
        <v>43138.267268518517</v>
      </c>
      <c r="C36" s="13">
        <v>43142.267267267263</v>
      </c>
      <c r="D36" s="8" t="s">
        <v>1022</v>
      </c>
      <c r="E36" s="8" t="s">
        <v>1058</v>
      </c>
      <c r="F36" s="8" t="s">
        <v>2001</v>
      </c>
      <c r="G36" s="8" t="s">
        <v>2407</v>
      </c>
      <c r="H36" s="8" t="s">
        <v>2409</v>
      </c>
      <c r="I36" s="8" t="s">
        <v>2416</v>
      </c>
      <c r="J36" s="16" t="s">
        <v>2410</v>
      </c>
      <c r="K36" s="16">
        <v>97351</v>
      </c>
      <c r="L36" s="8" t="s">
        <v>2419</v>
      </c>
      <c r="M36" s="8" t="s">
        <v>2457</v>
      </c>
      <c r="N36" s="8" t="s">
        <v>3373</v>
      </c>
      <c r="O36" s="8" t="s">
        <v>3385</v>
      </c>
      <c r="P36" s="8" t="s">
        <v>3419</v>
      </c>
      <c r="Q36" s="8">
        <v>4843.41</v>
      </c>
      <c r="R36" s="16">
        <v>2</v>
      </c>
      <c r="S36" s="21">
        <v>0.13</v>
      </c>
      <c r="T36" s="16">
        <v>-878.14</v>
      </c>
    </row>
    <row r="37" spans="1:20" x14ac:dyDescent="0.3">
      <c r="A37" s="5" t="s">
        <v>55</v>
      </c>
      <c r="B37" s="12">
        <v>43139.363368055558</v>
      </c>
      <c r="C37" s="12">
        <v>43140.363363363358</v>
      </c>
      <c r="D37" s="6" t="s">
        <v>1023</v>
      </c>
      <c r="E37" s="6" t="s">
        <v>1059</v>
      </c>
      <c r="F37" s="6" t="s">
        <v>2002</v>
      </c>
      <c r="G37" s="6" t="s">
        <v>2406</v>
      </c>
      <c r="H37" s="6" t="s">
        <v>2409</v>
      </c>
      <c r="I37" s="6" t="s">
        <v>2418</v>
      </c>
      <c r="J37" s="15" t="s">
        <v>3898</v>
      </c>
      <c r="K37" s="15">
        <v>75388</v>
      </c>
      <c r="L37" s="6" t="s">
        <v>2420</v>
      </c>
      <c r="M37" s="6" t="s">
        <v>2458</v>
      </c>
      <c r="N37" s="6" t="s">
        <v>3372</v>
      </c>
      <c r="O37" s="6" t="s">
        <v>3384</v>
      </c>
      <c r="P37" s="6" t="s">
        <v>3420</v>
      </c>
      <c r="Q37" s="6">
        <v>1241.8699999999999</v>
      </c>
      <c r="R37" s="15">
        <v>8</v>
      </c>
      <c r="S37" s="20">
        <v>0.69</v>
      </c>
      <c r="T37" s="15">
        <v>178.88</v>
      </c>
    </row>
    <row r="38" spans="1:20" x14ac:dyDescent="0.3">
      <c r="A38" s="7" t="s">
        <v>56</v>
      </c>
      <c r="B38" s="13">
        <v>43140.459456018521</v>
      </c>
      <c r="C38" s="13">
        <v>43143.459459459453</v>
      </c>
      <c r="D38" s="8" t="s">
        <v>1021</v>
      </c>
      <c r="E38" s="8" t="s">
        <v>1060</v>
      </c>
      <c r="F38" s="8" t="s">
        <v>2003</v>
      </c>
      <c r="G38" s="8" t="s">
        <v>2408</v>
      </c>
      <c r="H38" s="8" t="s">
        <v>2409</v>
      </c>
      <c r="I38" s="8" t="s">
        <v>2415</v>
      </c>
      <c r="J38" s="16" t="s">
        <v>3895</v>
      </c>
      <c r="K38" s="16">
        <v>14258</v>
      </c>
      <c r="L38" s="8" t="s">
        <v>2420</v>
      </c>
      <c r="M38" s="8" t="s">
        <v>2459</v>
      </c>
      <c r="N38" s="8" t="s">
        <v>3371</v>
      </c>
      <c r="O38" s="8" t="s">
        <v>3383</v>
      </c>
      <c r="P38" s="8" t="s">
        <v>3421</v>
      </c>
      <c r="Q38" s="8">
        <v>4965.22</v>
      </c>
      <c r="R38" s="16">
        <v>1</v>
      </c>
      <c r="S38" s="21">
        <v>0.78</v>
      </c>
      <c r="T38" s="16">
        <v>274.49</v>
      </c>
    </row>
    <row r="39" spans="1:20" x14ac:dyDescent="0.3">
      <c r="A39" s="5" t="s">
        <v>57</v>
      </c>
      <c r="B39" s="12">
        <v>43141.555555555555</v>
      </c>
      <c r="C39" s="12">
        <v>43143.555555555547</v>
      </c>
      <c r="D39" s="6" t="s">
        <v>1023</v>
      </c>
      <c r="E39" s="6" t="s">
        <v>1061</v>
      </c>
      <c r="F39" s="6" t="s">
        <v>2004</v>
      </c>
      <c r="G39" s="6" t="s">
        <v>2408</v>
      </c>
      <c r="H39" s="6" t="s">
        <v>2409</v>
      </c>
      <c r="I39" s="6" t="s">
        <v>2416</v>
      </c>
      <c r="J39" s="15" t="s">
        <v>3893</v>
      </c>
      <c r="K39" s="15">
        <v>89755</v>
      </c>
      <c r="L39" s="6" t="s">
        <v>2421</v>
      </c>
      <c r="M39" s="6" t="s">
        <v>2460</v>
      </c>
      <c r="N39" s="6" t="s">
        <v>3371</v>
      </c>
      <c r="O39" s="6" t="s">
        <v>3382</v>
      </c>
      <c r="P39" s="6" t="s">
        <v>3422</v>
      </c>
      <c r="Q39" s="6">
        <v>1207.76</v>
      </c>
      <c r="R39" s="15">
        <v>8</v>
      </c>
      <c r="S39" s="20">
        <v>0.81</v>
      </c>
      <c r="T39" s="15">
        <v>214.48</v>
      </c>
    </row>
    <row r="40" spans="1:20" x14ac:dyDescent="0.3">
      <c r="A40" s="7" t="s">
        <v>58</v>
      </c>
      <c r="B40" s="13">
        <v>43142.651655092595</v>
      </c>
      <c r="C40" s="13">
        <v>43143.651651651642</v>
      </c>
      <c r="D40" s="8" t="s">
        <v>1022</v>
      </c>
      <c r="E40" s="8" t="s">
        <v>1062</v>
      </c>
      <c r="F40" s="8" t="s">
        <v>2005</v>
      </c>
      <c r="G40" s="8" t="s">
        <v>2408</v>
      </c>
      <c r="H40" s="8" t="s">
        <v>2409</v>
      </c>
      <c r="I40" s="8" t="s">
        <v>2411</v>
      </c>
      <c r="J40" s="16" t="s">
        <v>2410</v>
      </c>
      <c r="K40" s="16">
        <v>21513</v>
      </c>
      <c r="L40" s="8" t="s">
        <v>2419</v>
      </c>
      <c r="M40" s="8" t="s">
        <v>2461</v>
      </c>
      <c r="N40" s="8" t="s">
        <v>3373</v>
      </c>
      <c r="O40" s="8" t="s">
        <v>3379</v>
      </c>
      <c r="P40" s="8" t="s">
        <v>3423</v>
      </c>
      <c r="Q40" s="8">
        <v>3850.66</v>
      </c>
      <c r="R40" s="16">
        <v>6</v>
      </c>
      <c r="S40" s="21">
        <v>0.09</v>
      </c>
      <c r="T40" s="16">
        <v>2030.96</v>
      </c>
    </row>
    <row r="41" spans="1:20" x14ac:dyDescent="0.3">
      <c r="A41" s="5" t="s">
        <v>59</v>
      </c>
      <c r="B41" s="12">
        <v>43143.747743055559</v>
      </c>
      <c r="C41" s="12">
        <v>43147.747747747737</v>
      </c>
      <c r="D41" s="6" t="s">
        <v>1021</v>
      </c>
      <c r="E41" s="6" t="s">
        <v>1063</v>
      </c>
      <c r="F41" s="6" t="s">
        <v>2006</v>
      </c>
      <c r="G41" s="6" t="s">
        <v>2407</v>
      </c>
      <c r="H41" s="6" t="s">
        <v>2409</v>
      </c>
      <c r="I41" s="6" t="s">
        <v>2413</v>
      </c>
      <c r="J41" s="15" t="s">
        <v>3892</v>
      </c>
      <c r="K41" s="15">
        <v>71268</v>
      </c>
      <c r="L41" s="6" t="s">
        <v>2422</v>
      </c>
      <c r="M41" s="6" t="s">
        <v>2462</v>
      </c>
      <c r="N41" s="6" t="s">
        <v>3373</v>
      </c>
      <c r="O41" s="6" t="s">
        <v>3385</v>
      </c>
      <c r="P41" s="6" t="s">
        <v>3424</v>
      </c>
      <c r="Q41" s="6">
        <v>924.78</v>
      </c>
      <c r="R41" s="15">
        <v>13</v>
      </c>
      <c r="S41" s="20">
        <v>0.09</v>
      </c>
      <c r="T41" s="15">
        <v>529.52</v>
      </c>
    </row>
    <row r="42" spans="1:20" x14ac:dyDescent="0.3">
      <c r="A42" s="7" t="s">
        <v>60</v>
      </c>
      <c r="B42" s="13">
        <v>43144.843842592592</v>
      </c>
      <c r="C42" s="13">
        <v>43146.843843843853</v>
      </c>
      <c r="D42" s="8" t="s">
        <v>1022</v>
      </c>
      <c r="E42" s="8" t="s">
        <v>1064</v>
      </c>
      <c r="F42" s="8" t="s">
        <v>2007</v>
      </c>
      <c r="G42" s="8" t="s">
        <v>2407</v>
      </c>
      <c r="H42" s="8" t="s">
        <v>2409</v>
      </c>
      <c r="I42" s="8" t="s">
        <v>2413</v>
      </c>
      <c r="J42" s="16" t="s">
        <v>3895</v>
      </c>
      <c r="K42" s="16">
        <v>88662</v>
      </c>
      <c r="L42" s="8" t="s">
        <v>2422</v>
      </c>
      <c r="M42" s="8" t="s">
        <v>2463</v>
      </c>
      <c r="N42" s="8" t="s">
        <v>3372</v>
      </c>
      <c r="O42" s="8" t="s">
        <v>3378</v>
      </c>
      <c r="P42" s="8" t="s">
        <v>3425</v>
      </c>
      <c r="Q42" s="8">
        <v>3206.68</v>
      </c>
      <c r="R42" s="16">
        <v>8</v>
      </c>
      <c r="S42" s="21">
        <v>0.69</v>
      </c>
      <c r="T42" s="16">
        <v>586.73</v>
      </c>
    </row>
    <row r="43" spans="1:20" x14ac:dyDescent="0.3">
      <c r="A43" s="5" t="s">
        <v>61</v>
      </c>
      <c r="B43" s="12">
        <v>43145.939942129633</v>
      </c>
      <c r="C43" s="12">
        <v>43151.939939939934</v>
      </c>
      <c r="D43" s="6" t="s">
        <v>1021</v>
      </c>
      <c r="E43" s="6" t="s">
        <v>1065</v>
      </c>
      <c r="F43" s="6" t="s">
        <v>2008</v>
      </c>
      <c r="G43" s="6" t="s">
        <v>2407</v>
      </c>
      <c r="H43" s="6" t="s">
        <v>2409</v>
      </c>
      <c r="I43" s="6" t="s">
        <v>2416</v>
      </c>
      <c r="J43" s="15" t="s">
        <v>3893</v>
      </c>
      <c r="K43" s="15">
        <v>79566</v>
      </c>
      <c r="L43" s="6" t="s">
        <v>2420</v>
      </c>
      <c r="M43" s="6" t="s">
        <v>2464</v>
      </c>
      <c r="N43" s="6" t="s">
        <v>3372</v>
      </c>
      <c r="O43" s="6" t="s">
        <v>3384</v>
      </c>
      <c r="P43" s="6" t="s">
        <v>3414</v>
      </c>
      <c r="Q43" s="6">
        <v>4306.2700000000004</v>
      </c>
      <c r="R43" s="15">
        <v>9</v>
      </c>
      <c r="S43" s="20">
        <v>0.16</v>
      </c>
      <c r="T43" s="15">
        <v>1721.77</v>
      </c>
    </row>
    <row r="44" spans="1:20" x14ac:dyDescent="0.3">
      <c r="A44" s="7" t="s">
        <v>62</v>
      </c>
      <c r="B44" s="13">
        <v>43147.036041666666</v>
      </c>
      <c r="C44" s="13">
        <v>43150.036036036028</v>
      </c>
      <c r="D44" s="8" t="s">
        <v>1022</v>
      </c>
      <c r="E44" s="8" t="s">
        <v>1066</v>
      </c>
      <c r="F44" s="8" t="s">
        <v>1988</v>
      </c>
      <c r="G44" s="8" t="s">
        <v>2406</v>
      </c>
      <c r="H44" s="8" t="s">
        <v>2409</v>
      </c>
      <c r="I44" s="8" t="s">
        <v>2414</v>
      </c>
      <c r="J44" s="16" t="s">
        <v>3891</v>
      </c>
      <c r="K44" s="16">
        <v>95136</v>
      </c>
      <c r="L44" s="8" t="s">
        <v>2421</v>
      </c>
      <c r="M44" s="8" t="s">
        <v>2465</v>
      </c>
      <c r="N44" s="8" t="s">
        <v>3373</v>
      </c>
      <c r="O44" s="8" t="s">
        <v>3379</v>
      </c>
      <c r="P44" s="8" t="s">
        <v>3426</v>
      </c>
      <c r="Q44" s="8">
        <v>1084.03</v>
      </c>
      <c r="R44" s="16">
        <v>14</v>
      </c>
      <c r="S44" s="21">
        <v>0.5</v>
      </c>
      <c r="T44" s="16">
        <v>45.95</v>
      </c>
    </row>
    <row r="45" spans="1:20" x14ac:dyDescent="0.3">
      <c r="A45" s="5" t="s">
        <v>63</v>
      </c>
      <c r="B45" s="12">
        <v>43148.13212962963</v>
      </c>
      <c r="C45" s="12">
        <v>43153.13213213213</v>
      </c>
      <c r="D45" s="6" t="s">
        <v>1021</v>
      </c>
      <c r="E45" s="6" t="s">
        <v>1067</v>
      </c>
      <c r="F45" s="6" t="s">
        <v>2009</v>
      </c>
      <c r="G45" s="6" t="s">
        <v>2406</v>
      </c>
      <c r="H45" s="6" t="s">
        <v>2409</v>
      </c>
      <c r="I45" s="6" t="s">
        <v>2410</v>
      </c>
      <c r="J45" s="15" t="s">
        <v>2410</v>
      </c>
      <c r="K45" s="15">
        <v>67480</v>
      </c>
      <c r="L45" s="6" t="s">
        <v>2419</v>
      </c>
      <c r="M45" s="6" t="s">
        <v>2466</v>
      </c>
      <c r="N45" s="6" t="s">
        <v>3372</v>
      </c>
      <c r="O45" s="6" t="s">
        <v>3376</v>
      </c>
      <c r="P45" s="6" t="s">
        <v>3427</v>
      </c>
      <c r="Q45" s="6">
        <v>4751</v>
      </c>
      <c r="R45" s="15">
        <v>12</v>
      </c>
      <c r="S45" s="20">
        <v>0.24</v>
      </c>
      <c r="T45" s="15">
        <v>648.04</v>
      </c>
    </row>
    <row r="46" spans="1:20" x14ac:dyDescent="0.3">
      <c r="A46" s="7" t="s">
        <v>64</v>
      </c>
      <c r="B46" s="13">
        <v>43149.228229166663</v>
      </c>
      <c r="C46" s="13">
        <v>43153.228228228218</v>
      </c>
      <c r="D46" s="8" t="s">
        <v>1021</v>
      </c>
      <c r="E46" s="8" t="s">
        <v>1068</v>
      </c>
      <c r="F46" s="8" t="s">
        <v>2010</v>
      </c>
      <c r="G46" s="8" t="s">
        <v>2406</v>
      </c>
      <c r="H46" s="8" t="s">
        <v>2409</v>
      </c>
      <c r="I46" s="8" t="s">
        <v>2415</v>
      </c>
      <c r="J46" s="16" t="s">
        <v>3894</v>
      </c>
      <c r="K46" s="16">
        <v>52531</v>
      </c>
      <c r="L46" s="8" t="s">
        <v>2421</v>
      </c>
      <c r="M46" s="8" t="s">
        <v>2467</v>
      </c>
      <c r="N46" s="8" t="s">
        <v>3373</v>
      </c>
      <c r="O46" s="8" t="s">
        <v>3379</v>
      </c>
      <c r="P46" s="8" t="s">
        <v>3428</v>
      </c>
      <c r="Q46" s="8">
        <v>4343.9799999999996</v>
      </c>
      <c r="R46" s="16">
        <v>10</v>
      </c>
      <c r="S46" s="21">
        <v>0.45</v>
      </c>
      <c r="T46" s="16">
        <v>-595.79999999999995</v>
      </c>
    </row>
    <row r="47" spans="1:20" x14ac:dyDescent="0.3">
      <c r="A47" s="5" t="s">
        <v>65</v>
      </c>
      <c r="B47" s="12">
        <v>43150.324328703704</v>
      </c>
      <c r="C47" s="12">
        <v>43151.32432432432</v>
      </c>
      <c r="D47" s="6" t="s">
        <v>1020</v>
      </c>
      <c r="E47" s="6" t="s">
        <v>1069</v>
      </c>
      <c r="F47" s="6" t="s">
        <v>2011</v>
      </c>
      <c r="G47" s="6" t="s">
        <v>2407</v>
      </c>
      <c r="H47" s="6" t="s">
        <v>2409</v>
      </c>
      <c r="I47" s="6" t="s">
        <v>2413</v>
      </c>
      <c r="J47" s="15" t="s">
        <v>3895</v>
      </c>
      <c r="K47" s="15">
        <v>60069</v>
      </c>
      <c r="L47" s="6" t="s">
        <v>2421</v>
      </c>
      <c r="M47" s="6" t="s">
        <v>2468</v>
      </c>
      <c r="N47" s="6" t="s">
        <v>3373</v>
      </c>
      <c r="O47" s="6" t="s">
        <v>3379</v>
      </c>
      <c r="P47" s="6" t="s">
        <v>3429</v>
      </c>
      <c r="Q47" s="6">
        <v>1776.45</v>
      </c>
      <c r="R47" s="15">
        <v>7</v>
      </c>
      <c r="S47" s="20">
        <v>0.37</v>
      </c>
      <c r="T47" s="15">
        <v>-98.19</v>
      </c>
    </row>
    <row r="48" spans="1:20" x14ac:dyDescent="0.3">
      <c r="A48" s="7" t="s">
        <v>66</v>
      </c>
      <c r="B48" s="13">
        <v>43151.420416666668</v>
      </c>
      <c r="C48" s="13">
        <v>43157.420420420407</v>
      </c>
      <c r="D48" s="8" t="s">
        <v>1023</v>
      </c>
      <c r="E48" s="8" t="s">
        <v>1070</v>
      </c>
      <c r="F48" s="8" t="s">
        <v>2012</v>
      </c>
      <c r="G48" s="8" t="s">
        <v>2406</v>
      </c>
      <c r="H48" s="8" t="s">
        <v>2409</v>
      </c>
      <c r="I48" s="8" t="s">
        <v>2412</v>
      </c>
      <c r="J48" s="16" t="s">
        <v>3895</v>
      </c>
      <c r="K48" s="16">
        <v>13451</v>
      </c>
      <c r="L48" s="8" t="s">
        <v>2419</v>
      </c>
      <c r="M48" s="8" t="s">
        <v>2469</v>
      </c>
      <c r="N48" s="8" t="s">
        <v>3373</v>
      </c>
      <c r="O48" s="8" t="s">
        <v>3385</v>
      </c>
      <c r="P48" s="8" t="s">
        <v>3430</v>
      </c>
      <c r="Q48" s="8">
        <v>1489.68</v>
      </c>
      <c r="R48" s="16">
        <v>7</v>
      </c>
      <c r="S48" s="21">
        <v>0.84</v>
      </c>
      <c r="T48" s="16">
        <v>-245.06</v>
      </c>
    </row>
    <row r="49" spans="1:20" x14ac:dyDescent="0.3">
      <c r="A49" s="5" t="s">
        <v>67</v>
      </c>
      <c r="B49" s="12">
        <v>43152.516516203701</v>
      </c>
      <c r="C49" s="12">
        <v>43157.516516516524</v>
      </c>
      <c r="D49" s="6" t="s">
        <v>1021</v>
      </c>
      <c r="E49" s="6" t="s">
        <v>1071</v>
      </c>
      <c r="F49" s="6" t="s">
        <v>2013</v>
      </c>
      <c r="G49" s="6" t="s">
        <v>2408</v>
      </c>
      <c r="H49" s="6" t="s">
        <v>2409</v>
      </c>
      <c r="I49" s="6" t="s">
        <v>2417</v>
      </c>
      <c r="J49" s="15" t="s">
        <v>2410</v>
      </c>
      <c r="K49" s="15">
        <v>10239</v>
      </c>
      <c r="L49" s="6" t="s">
        <v>2420</v>
      </c>
      <c r="M49" s="6" t="s">
        <v>2470</v>
      </c>
      <c r="N49" s="6" t="s">
        <v>3371</v>
      </c>
      <c r="O49" s="6" t="s">
        <v>3375</v>
      </c>
      <c r="P49" s="6" t="s">
        <v>3428</v>
      </c>
      <c r="Q49" s="6">
        <v>2887.35</v>
      </c>
      <c r="R49" s="15">
        <v>1</v>
      </c>
      <c r="S49" s="20">
        <v>0.7</v>
      </c>
      <c r="T49" s="15">
        <v>217.51</v>
      </c>
    </row>
    <row r="50" spans="1:20" x14ac:dyDescent="0.3">
      <c r="A50" s="7" t="s">
        <v>68</v>
      </c>
      <c r="B50" s="13">
        <v>43153.612615740742</v>
      </c>
      <c r="C50" s="13">
        <v>43157.612612612596</v>
      </c>
      <c r="D50" s="8" t="s">
        <v>1021</v>
      </c>
      <c r="E50" s="8" t="s">
        <v>1072</v>
      </c>
      <c r="F50" s="8" t="s">
        <v>2014</v>
      </c>
      <c r="G50" s="8" t="s">
        <v>2406</v>
      </c>
      <c r="H50" s="8" t="s">
        <v>2409</v>
      </c>
      <c r="I50" s="8" t="s">
        <v>2415</v>
      </c>
      <c r="J50" s="16" t="s">
        <v>3896</v>
      </c>
      <c r="K50" s="16">
        <v>91644</v>
      </c>
      <c r="L50" s="8" t="s">
        <v>2421</v>
      </c>
      <c r="M50" s="8" t="s">
        <v>2471</v>
      </c>
      <c r="N50" s="8" t="s">
        <v>3372</v>
      </c>
      <c r="O50" s="8" t="s">
        <v>3376</v>
      </c>
      <c r="P50" s="8" t="s">
        <v>3431</v>
      </c>
      <c r="Q50" s="8">
        <v>3970.7</v>
      </c>
      <c r="R50" s="16">
        <v>11</v>
      </c>
      <c r="S50" s="21">
        <v>0.75</v>
      </c>
      <c r="T50" s="16">
        <v>2259.7399999999998</v>
      </c>
    </row>
    <row r="51" spans="1:20" x14ac:dyDescent="0.3">
      <c r="A51" s="5" t="s">
        <v>69</v>
      </c>
      <c r="B51" s="12">
        <v>43154.708703703705</v>
      </c>
      <c r="C51" s="12">
        <v>43160.708708708713</v>
      </c>
      <c r="D51" s="6" t="s">
        <v>1022</v>
      </c>
      <c r="E51" s="6" t="s">
        <v>1073</v>
      </c>
      <c r="F51" s="6" t="s">
        <v>2015</v>
      </c>
      <c r="G51" s="6" t="s">
        <v>2407</v>
      </c>
      <c r="H51" s="6" t="s">
        <v>2409</v>
      </c>
      <c r="I51" s="6" t="s">
        <v>2411</v>
      </c>
      <c r="J51" s="15" t="s">
        <v>3896</v>
      </c>
      <c r="K51" s="15">
        <v>69004</v>
      </c>
      <c r="L51" s="6" t="s">
        <v>2420</v>
      </c>
      <c r="M51" s="6" t="s">
        <v>2472</v>
      </c>
      <c r="N51" s="6" t="s">
        <v>3371</v>
      </c>
      <c r="O51" s="6" t="s">
        <v>3383</v>
      </c>
      <c r="P51" s="6" t="s">
        <v>3432</v>
      </c>
      <c r="Q51" s="6">
        <v>3037.64</v>
      </c>
      <c r="R51" s="15">
        <v>6</v>
      </c>
      <c r="S51" s="20">
        <v>0.28000000000000003</v>
      </c>
      <c r="T51" s="15">
        <v>89.08</v>
      </c>
    </row>
    <row r="52" spans="1:20" x14ac:dyDescent="0.3">
      <c r="A52" s="7" t="s">
        <v>70</v>
      </c>
      <c r="B52" s="13">
        <v>43155.804803240739</v>
      </c>
      <c r="C52" s="13">
        <v>43161.8048048048</v>
      </c>
      <c r="D52" s="8" t="s">
        <v>1021</v>
      </c>
      <c r="E52" s="8" t="s">
        <v>1074</v>
      </c>
      <c r="F52" s="8" t="s">
        <v>2016</v>
      </c>
      <c r="G52" s="8" t="s">
        <v>2407</v>
      </c>
      <c r="H52" s="8" t="s">
        <v>2409</v>
      </c>
      <c r="I52" s="8" t="s">
        <v>2411</v>
      </c>
      <c r="J52" s="16" t="s">
        <v>2410</v>
      </c>
      <c r="K52" s="16">
        <v>62111</v>
      </c>
      <c r="L52" s="8" t="s">
        <v>2421</v>
      </c>
      <c r="M52" s="8" t="s">
        <v>2473</v>
      </c>
      <c r="N52" s="8" t="s">
        <v>3372</v>
      </c>
      <c r="O52" s="8" t="s">
        <v>3378</v>
      </c>
      <c r="P52" s="8" t="s">
        <v>3433</v>
      </c>
      <c r="Q52" s="8">
        <v>3906.25</v>
      </c>
      <c r="R52" s="16">
        <v>13</v>
      </c>
      <c r="S52" s="21">
        <v>0.12</v>
      </c>
      <c r="T52" s="16">
        <v>193.75</v>
      </c>
    </row>
    <row r="53" spans="1:20" x14ac:dyDescent="0.3">
      <c r="A53" s="5" t="s">
        <v>71</v>
      </c>
      <c r="B53" s="12">
        <v>43156.900902777779</v>
      </c>
      <c r="C53" s="12">
        <v>43158.900900900888</v>
      </c>
      <c r="D53" s="6" t="s">
        <v>1021</v>
      </c>
      <c r="E53" s="6" t="s">
        <v>1075</v>
      </c>
      <c r="F53" s="6" t="s">
        <v>2017</v>
      </c>
      <c r="G53" s="6" t="s">
        <v>2406</v>
      </c>
      <c r="H53" s="6" t="s">
        <v>2409</v>
      </c>
      <c r="I53" s="6" t="s">
        <v>2415</v>
      </c>
      <c r="J53" s="15" t="s">
        <v>3894</v>
      </c>
      <c r="K53" s="15">
        <v>11753</v>
      </c>
      <c r="L53" s="6" t="s">
        <v>2422</v>
      </c>
      <c r="M53" s="6" t="s">
        <v>2474</v>
      </c>
      <c r="N53" s="6" t="s">
        <v>3371</v>
      </c>
      <c r="O53" s="6" t="s">
        <v>3383</v>
      </c>
      <c r="P53" s="6" t="s">
        <v>3434</v>
      </c>
      <c r="Q53" s="6">
        <v>1827.18</v>
      </c>
      <c r="R53" s="15">
        <v>1</v>
      </c>
      <c r="S53" s="20">
        <v>7.0000000000000007E-2</v>
      </c>
      <c r="T53" s="15">
        <v>831.96</v>
      </c>
    </row>
    <row r="54" spans="1:20" x14ac:dyDescent="0.3">
      <c r="A54" s="7" t="s">
        <v>72</v>
      </c>
      <c r="B54" s="13">
        <v>43157.997002314813</v>
      </c>
      <c r="C54" s="13">
        <v>43163.99699699699</v>
      </c>
      <c r="D54" s="8" t="s">
        <v>1021</v>
      </c>
      <c r="E54" s="8" t="s">
        <v>1076</v>
      </c>
      <c r="F54" s="8" t="s">
        <v>2018</v>
      </c>
      <c r="G54" s="8" t="s">
        <v>2406</v>
      </c>
      <c r="H54" s="8" t="s">
        <v>2409</v>
      </c>
      <c r="I54" s="8" t="s">
        <v>2410</v>
      </c>
      <c r="J54" s="16" t="s">
        <v>3894</v>
      </c>
      <c r="K54" s="16">
        <v>98082</v>
      </c>
      <c r="L54" s="8" t="s">
        <v>2419</v>
      </c>
      <c r="M54" s="8" t="s">
        <v>2475</v>
      </c>
      <c r="N54" s="8" t="s">
        <v>3373</v>
      </c>
      <c r="O54" s="8" t="s">
        <v>3385</v>
      </c>
      <c r="P54" s="8" t="s">
        <v>3395</v>
      </c>
      <c r="Q54" s="8">
        <v>2694.63</v>
      </c>
      <c r="R54" s="16">
        <v>5</v>
      </c>
      <c r="S54" s="21">
        <v>0.72</v>
      </c>
      <c r="T54" s="16">
        <v>-61.46</v>
      </c>
    </row>
    <row r="55" spans="1:20" x14ac:dyDescent="0.3">
      <c r="A55" s="5" t="s">
        <v>73</v>
      </c>
      <c r="B55" s="12">
        <v>43159.093090277776</v>
      </c>
      <c r="C55" s="12">
        <v>43164.093093093092</v>
      </c>
      <c r="D55" s="6" t="s">
        <v>1020</v>
      </c>
      <c r="E55" s="6" t="s">
        <v>1077</v>
      </c>
      <c r="F55" s="6" t="s">
        <v>2019</v>
      </c>
      <c r="G55" s="6" t="s">
        <v>2407</v>
      </c>
      <c r="H55" s="6" t="s">
        <v>2409</v>
      </c>
      <c r="I55" s="6" t="s">
        <v>2416</v>
      </c>
      <c r="J55" s="15" t="s">
        <v>3895</v>
      </c>
      <c r="K55" s="15">
        <v>75518</v>
      </c>
      <c r="L55" s="6" t="s">
        <v>2422</v>
      </c>
      <c r="M55" s="6" t="s">
        <v>2476</v>
      </c>
      <c r="N55" s="6" t="s">
        <v>3373</v>
      </c>
      <c r="O55" s="6" t="s">
        <v>3380</v>
      </c>
      <c r="P55" s="6" t="s">
        <v>3435</v>
      </c>
      <c r="Q55" s="6">
        <v>1020.38</v>
      </c>
      <c r="R55" s="15">
        <v>7</v>
      </c>
      <c r="S55" s="20">
        <v>0.78</v>
      </c>
      <c r="T55" s="15">
        <v>195.55</v>
      </c>
    </row>
    <row r="56" spans="1:20" x14ac:dyDescent="0.3">
      <c r="A56" s="7" t="s">
        <v>74</v>
      </c>
      <c r="B56" s="13">
        <v>43160.189189814817</v>
      </c>
      <c r="C56" s="13">
        <v>43165.189189189179</v>
      </c>
      <c r="D56" s="8" t="s">
        <v>1023</v>
      </c>
      <c r="E56" s="8" t="s">
        <v>1078</v>
      </c>
      <c r="F56" s="8" t="s">
        <v>2020</v>
      </c>
      <c r="G56" s="8" t="s">
        <v>2406</v>
      </c>
      <c r="H56" s="8" t="s">
        <v>2409</v>
      </c>
      <c r="I56" s="8" t="s">
        <v>2411</v>
      </c>
      <c r="J56" s="16" t="s">
        <v>3895</v>
      </c>
      <c r="K56" s="16">
        <v>78721</v>
      </c>
      <c r="L56" s="8" t="s">
        <v>2419</v>
      </c>
      <c r="M56" s="8" t="s">
        <v>2477</v>
      </c>
      <c r="N56" s="8" t="s">
        <v>3373</v>
      </c>
      <c r="O56" s="8" t="s">
        <v>3379</v>
      </c>
      <c r="P56" s="8" t="s">
        <v>3436</v>
      </c>
      <c r="Q56" s="8">
        <v>1957.5</v>
      </c>
      <c r="R56" s="16">
        <v>11</v>
      </c>
      <c r="S56" s="21">
        <v>0.54</v>
      </c>
      <c r="T56" s="16">
        <v>-142.5</v>
      </c>
    </row>
    <row r="57" spans="1:20" x14ac:dyDescent="0.3">
      <c r="A57" s="5" t="s">
        <v>75</v>
      </c>
      <c r="B57" s="12">
        <v>43161.28528935185</v>
      </c>
      <c r="C57" s="12">
        <v>43164.285285285281</v>
      </c>
      <c r="D57" s="6" t="s">
        <v>1021</v>
      </c>
      <c r="E57" s="6" t="s">
        <v>1079</v>
      </c>
      <c r="F57" s="6" t="s">
        <v>2021</v>
      </c>
      <c r="G57" s="6" t="s">
        <v>2406</v>
      </c>
      <c r="H57" s="6" t="s">
        <v>2409</v>
      </c>
      <c r="I57" s="6" t="s">
        <v>2415</v>
      </c>
      <c r="J57" s="15" t="s">
        <v>3895</v>
      </c>
      <c r="K57" s="15">
        <v>26543</v>
      </c>
      <c r="L57" s="6" t="s">
        <v>2419</v>
      </c>
      <c r="M57" s="6" t="s">
        <v>2478</v>
      </c>
      <c r="N57" s="6" t="s">
        <v>3373</v>
      </c>
      <c r="O57" s="6" t="s">
        <v>3381</v>
      </c>
      <c r="P57" s="6" t="s">
        <v>3419</v>
      </c>
      <c r="Q57" s="6">
        <v>2353.9899999999998</v>
      </c>
      <c r="R57" s="15">
        <v>10</v>
      </c>
      <c r="S57" s="20">
        <v>0.37</v>
      </c>
      <c r="T57" s="15">
        <v>695.53</v>
      </c>
    </row>
    <row r="58" spans="1:20" x14ac:dyDescent="0.3">
      <c r="A58" s="7" t="s">
        <v>76</v>
      </c>
      <c r="B58" s="13">
        <v>43162.381377314814</v>
      </c>
      <c r="C58" s="13">
        <v>43165.381381381383</v>
      </c>
      <c r="D58" s="8" t="s">
        <v>1022</v>
      </c>
      <c r="E58" s="8" t="s">
        <v>1080</v>
      </c>
      <c r="F58" s="8" t="s">
        <v>2022</v>
      </c>
      <c r="G58" s="8" t="s">
        <v>2407</v>
      </c>
      <c r="H58" s="8" t="s">
        <v>2409</v>
      </c>
      <c r="I58" s="8" t="s">
        <v>2414</v>
      </c>
      <c r="J58" s="16" t="s">
        <v>3895</v>
      </c>
      <c r="K58" s="16">
        <v>22720</v>
      </c>
      <c r="L58" s="8" t="s">
        <v>2421</v>
      </c>
      <c r="M58" s="8" t="s">
        <v>2479</v>
      </c>
      <c r="N58" s="8" t="s">
        <v>3371</v>
      </c>
      <c r="O58" s="8" t="s">
        <v>3382</v>
      </c>
      <c r="P58" s="8" t="s">
        <v>3393</v>
      </c>
      <c r="Q58" s="8">
        <v>3411.57</v>
      </c>
      <c r="R58" s="16">
        <v>14</v>
      </c>
      <c r="S58" s="21">
        <v>0.4</v>
      </c>
      <c r="T58" s="16">
        <v>1108.43</v>
      </c>
    </row>
    <row r="59" spans="1:20" x14ac:dyDescent="0.3">
      <c r="A59" s="5" t="s">
        <v>77</v>
      </c>
      <c r="B59" s="12">
        <v>43163.477476851855</v>
      </c>
      <c r="C59" s="12">
        <v>43169.477477477478</v>
      </c>
      <c r="D59" s="6" t="s">
        <v>1020</v>
      </c>
      <c r="E59" s="6" t="s">
        <v>1081</v>
      </c>
      <c r="F59" s="6" t="s">
        <v>2023</v>
      </c>
      <c r="G59" s="6" t="s">
        <v>2406</v>
      </c>
      <c r="H59" s="6" t="s">
        <v>2409</v>
      </c>
      <c r="I59" s="6" t="s">
        <v>2418</v>
      </c>
      <c r="J59" s="15" t="s">
        <v>3898</v>
      </c>
      <c r="K59" s="15">
        <v>30947</v>
      </c>
      <c r="L59" s="6" t="s">
        <v>2420</v>
      </c>
      <c r="M59" s="6" t="s">
        <v>2480</v>
      </c>
      <c r="N59" s="6" t="s">
        <v>3372</v>
      </c>
      <c r="O59" s="6" t="s">
        <v>3377</v>
      </c>
      <c r="P59" s="6" t="s">
        <v>3437</v>
      </c>
      <c r="Q59" s="6">
        <v>2929.96</v>
      </c>
      <c r="R59" s="15">
        <v>8</v>
      </c>
      <c r="S59" s="20">
        <v>0.8</v>
      </c>
      <c r="T59" s="15">
        <v>1646.26</v>
      </c>
    </row>
    <row r="60" spans="1:20" x14ac:dyDescent="0.3">
      <c r="A60" s="7" t="s">
        <v>78</v>
      </c>
      <c r="B60" s="13">
        <v>43164.573576388888</v>
      </c>
      <c r="C60" s="13">
        <v>43168.573573573573</v>
      </c>
      <c r="D60" s="8" t="s">
        <v>1023</v>
      </c>
      <c r="E60" s="8" t="s">
        <v>1082</v>
      </c>
      <c r="F60" s="8" t="s">
        <v>2024</v>
      </c>
      <c r="G60" s="8" t="s">
        <v>2408</v>
      </c>
      <c r="H60" s="8" t="s">
        <v>2409</v>
      </c>
      <c r="I60" s="8" t="s">
        <v>2411</v>
      </c>
      <c r="J60" s="16" t="s">
        <v>3898</v>
      </c>
      <c r="K60" s="16">
        <v>11627</v>
      </c>
      <c r="L60" s="8" t="s">
        <v>2419</v>
      </c>
      <c r="M60" s="8" t="s">
        <v>2481</v>
      </c>
      <c r="N60" s="8" t="s">
        <v>3372</v>
      </c>
      <c r="O60" s="8" t="s">
        <v>3384</v>
      </c>
      <c r="P60" s="8" t="s">
        <v>3438</v>
      </c>
      <c r="Q60" s="8">
        <v>4187.38</v>
      </c>
      <c r="R60" s="16">
        <v>9</v>
      </c>
      <c r="S60" s="21">
        <v>0.35</v>
      </c>
      <c r="T60" s="16">
        <v>1764.35</v>
      </c>
    </row>
    <row r="61" spans="1:20" x14ac:dyDescent="0.3">
      <c r="A61" s="5" t="s">
        <v>79</v>
      </c>
      <c r="B61" s="12">
        <v>43165.669664351852</v>
      </c>
      <c r="C61" s="12">
        <v>43169.669669669667</v>
      </c>
      <c r="D61" s="6" t="s">
        <v>1022</v>
      </c>
      <c r="E61" s="6" t="s">
        <v>1083</v>
      </c>
      <c r="F61" s="6" t="s">
        <v>2025</v>
      </c>
      <c r="G61" s="6" t="s">
        <v>2406</v>
      </c>
      <c r="H61" s="6" t="s">
        <v>2409</v>
      </c>
      <c r="I61" s="6" t="s">
        <v>2415</v>
      </c>
      <c r="J61" s="15" t="s">
        <v>3895</v>
      </c>
      <c r="K61" s="15">
        <v>74088</v>
      </c>
      <c r="L61" s="6" t="s">
        <v>2422</v>
      </c>
      <c r="M61" s="6" t="s">
        <v>2482</v>
      </c>
      <c r="N61" s="6" t="s">
        <v>3372</v>
      </c>
      <c r="O61" s="6" t="s">
        <v>3376</v>
      </c>
      <c r="P61" s="6" t="s">
        <v>3439</v>
      </c>
      <c r="Q61" s="6">
        <v>900.28</v>
      </c>
      <c r="R61" s="15">
        <v>3</v>
      </c>
      <c r="S61" s="20">
        <v>0.57999999999999996</v>
      </c>
      <c r="T61" s="15">
        <v>-128.28</v>
      </c>
    </row>
    <row r="62" spans="1:20" x14ac:dyDescent="0.3">
      <c r="A62" s="7" t="s">
        <v>80</v>
      </c>
      <c r="B62" s="13">
        <v>43166.765763888892</v>
      </c>
      <c r="C62" s="13">
        <v>43167.765765765762</v>
      </c>
      <c r="D62" s="8" t="s">
        <v>1022</v>
      </c>
      <c r="E62" s="8" t="s">
        <v>1084</v>
      </c>
      <c r="F62" s="8" t="s">
        <v>2026</v>
      </c>
      <c r="G62" s="8" t="s">
        <v>2408</v>
      </c>
      <c r="H62" s="8" t="s">
        <v>2409</v>
      </c>
      <c r="I62" s="8" t="s">
        <v>2418</v>
      </c>
      <c r="J62" s="16" t="s">
        <v>3896</v>
      </c>
      <c r="K62" s="16">
        <v>69162</v>
      </c>
      <c r="L62" s="8" t="s">
        <v>2420</v>
      </c>
      <c r="M62" s="8" t="s">
        <v>2483</v>
      </c>
      <c r="N62" s="8" t="s">
        <v>3372</v>
      </c>
      <c r="O62" s="8" t="s">
        <v>3384</v>
      </c>
      <c r="P62" s="8" t="s">
        <v>3440</v>
      </c>
      <c r="Q62" s="8">
        <v>4706.95</v>
      </c>
      <c r="R62" s="16">
        <v>10</v>
      </c>
      <c r="S62" s="21">
        <v>0.4</v>
      </c>
      <c r="T62" s="16">
        <v>117.99</v>
      </c>
    </row>
    <row r="63" spans="1:20" x14ac:dyDescent="0.3">
      <c r="A63" s="5" t="s">
        <v>81</v>
      </c>
      <c r="B63" s="12">
        <v>43167.861863425926</v>
      </c>
      <c r="C63" s="12">
        <v>43168.861861861849</v>
      </c>
      <c r="D63" s="6" t="s">
        <v>1023</v>
      </c>
      <c r="E63" s="6" t="s">
        <v>1085</v>
      </c>
      <c r="F63" s="6" t="s">
        <v>2027</v>
      </c>
      <c r="G63" s="6" t="s">
        <v>2406</v>
      </c>
      <c r="H63" s="6" t="s">
        <v>2409</v>
      </c>
      <c r="I63" s="6" t="s">
        <v>2411</v>
      </c>
      <c r="J63" s="15" t="s">
        <v>3898</v>
      </c>
      <c r="K63" s="15">
        <v>32319</v>
      </c>
      <c r="L63" s="6" t="s">
        <v>2420</v>
      </c>
      <c r="M63" s="6" t="s">
        <v>2484</v>
      </c>
      <c r="N63" s="6" t="s">
        <v>3373</v>
      </c>
      <c r="O63" s="6" t="s">
        <v>3379</v>
      </c>
      <c r="P63" s="6" t="s">
        <v>3441</v>
      </c>
      <c r="Q63" s="6">
        <v>1298.1600000000001</v>
      </c>
      <c r="R63" s="15">
        <v>11</v>
      </c>
      <c r="S63" s="20">
        <v>0.54</v>
      </c>
      <c r="T63" s="15">
        <v>710.94</v>
      </c>
    </row>
    <row r="64" spans="1:20" x14ac:dyDescent="0.3">
      <c r="A64" s="7" t="s">
        <v>82</v>
      </c>
      <c r="B64" s="13">
        <v>43168.957962962966</v>
      </c>
      <c r="C64" s="13">
        <v>43172.957957957951</v>
      </c>
      <c r="D64" s="8" t="s">
        <v>1022</v>
      </c>
      <c r="E64" s="8" t="s">
        <v>1086</v>
      </c>
      <c r="F64" s="8" t="s">
        <v>2028</v>
      </c>
      <c r="G64" s="8" t="s">
        <v>2407</v>
      </c>
      <c r="H64" s="8" t="s">
        <v>2409</v>
      </c>
      <c r="I64" s="8" t="s">
        <v>2410</v>
      </c>
      <c r="J64" s="16" t="s">
        <v>3893</v>
      </c>
      <c r="K64" s="16">
        <v>84423</v>
      </c>
      <c r="L64" s="8" t="s">
        <v>2419</v>
      </c>
      <c r="M64" s="8" t="s">
        <v>2485</v>
      </c>
      <c r="N64" s="8" t="s">
        <v>3371</v>
      </c>
      <c r="O64" s="8" t="s">
        <v>3375</v>
      </c>
      <c r="P64" s="8" t="s">
        <v>3442</v>
      </c>
      <c r="Q64" s="8">
        <v>1042.3800000000001</v>
      </c>
      <c r="R64" s="16">
        <v>3</v>
      </c>
      <c r="S64" s="21">
        <v>0.12</v>
      </c>
      <c r="T64" s="16">
        <v>433.45</v>
      </c>
    </row>
    <row r="65" spans="1:20" x14ac:dyDescent="0.3">
      <c r="A65" s="5" t="s">
        <v>83</v>
      </c>
      <c r="B65" s="12">
        <v>43170.054050925923</v>
      </c>
      <c r="C65" s="12">
        <v>43172.054054054053</v>
      </c>
      <c r="D65" s="6" t="s">
        <v>1020</v>
      </c>
      <c r="E65" s="6" t="s">
        <v>1087</v>
      </c>
      <c r="F65" s="6" t="s">
        <v>2029</v>
      </c>
      <c r="G65" s="6" t="s">
        <v>2407</v>
      </c>
      <c r="H65" s="6" t="s">
        <v>2409</v>
      </c>
      <c r="I65" s="6" t="s">
        <v>2413</v>
      </c>
      <c r="J65" s="15" t="s">
        <v>3897</v>
      </c>
      <c r="K65" s="15">
        <v>46384</v>
      </c>
      <c r="L65" s="6" t="s">
        <v>2420</v>
      </c>
      <c r="M65" s="6" t="s">
        <v>2486</v>
      </c>
      <c r="N65" s="6" t="s">
        <v>3373</v>
      </c>
      <c r="O65" s="6" t="s">
        <v>3385</v>
      </c>
      <c r="P65" s="6" t="s">
        <v>3443</v>
      </c>
      <c r="Q65" s="6">
        <v>3417.57</v>
      </c>
      <c r="R65" s="15">
        <v>11</v>
      </c>
      <c r="S65" s="20">
        <v>0.67</v>
      </c>
      <c r="T65" s="15">
        <v>1340.55</v>
      </c>
    </row>
    <row r="66" spans="1:20" x14ac:dyDescent="0.3">
      <c r="A66" s="7" t="s">
        <v>84</v>
      </c>
      <c r="B66" s="13">
        <v>43171.150150462963</v>
      </c>
      <c r="C66" s="13">
        <v>43177.150150150141</v>
      </c>
      <c r="D66" s="8" t="s">
        <v>1022</v>
      </c>
      <c r="E66" s="8" t="s">
        <v>1088</v>
      </c>
      <c r="F66" s="8" t="s">
        <v>2030</v>
      </c>
      <c r="G66" s="8" t="s">
        <v>2408</v>
      </c>
      <c r="H66" s="8" t="s">
        <v>2409</v>
      </c>
      <c r="I66" s="8" t="s">
        <v>2414</v>
      </c>
      <c r="J66" s="16" t="s">
        <v>3891</v>
      </c>
      <c r="K66" s="16">
        <v>54022</v>
      </c>
      <c r="L66" s="8" t="s">
        <v>2420</v>
      </c>
      <c r="M66" s="8" t="s">
        <v>2487</v>
      </c>
      <c r="N66" s="8" t="s">
        <v>3372</v>
      </c>
      <c r="O66" s="8" t="s">
        <v>3377</v>
      </c>
      <c r="P66" s="8" t="s">
        <v>3444</v>
      </c>
      <c r="Q66" s="8">
        <v>1673.99</v>
      </c>
      <c r="R66" s="16">
        <v>6</v>
      </c>
      <c r="S66" s="21">
        <v>0.63</v>
      </c>
      <c r="T66" s="16">
        <v>-243.54</v>
      </c>
    </row>
    <row r="67" spans="1:20" x14ac:dyDescent="0.3">
      <c r="A67" s="5" t="s">
        <v>85</v>
      </c>
      <c r="B67" s="12">
        <v>43172.246249999997</v>
      </c>
      <c r="C67" s="12">
        <v>43173.246246246243</v>
      </c>
      <c r="D67" s="6" t="s">
        <v>1022</v>
      </c>
      <c r="E67" s="6" t="s">
        <v>1089</v>
      </c>
      <c r="F67" s="6" t="s">
        <v>2031</v>
      </c>
      <c r="G67" s="6" t="s">
        <v>2406</v>
      </c>
      <c r="H67" s="6" t="s">
        <v>2409</v>
      </c>
      <c r="I67" s="6" t="s">
        <v>2416</v>
      </c>
      <c r="J67" s="15" t="s">
        <v>3891</v>
      </c>
      <c r="K67" s="15">
        <v>65122</v>
      </c>
      <c r="L67" s="6" t="s">
        <v>2420</v>
      </c>
      <c r="M67" s="6" t="s">
        <v>2488</v>
      </c>
      <c r="N67" s="6" t="s">
        <v>3372</v>
      </c>
      <c r="O67" s="6" t="s">
        <v>3378</v>
      </c>
      <c r="P67" s="6" t="s">
        <v>3445</v>
      </c>
      <c r="Q67" s="6">
        <v>3140.95</v>
      </c>
      <c r="R67" s="15">
        <v>12</v>
      </c>
      <c r="S67" s="20">
        <v>0.23</v>
      </c>
      <c r="T67" s="15">
        <v>505.32</v>
      </c>
    </row>
    <row r="68" spans="1:20" x14ac:dyDescent="0.3">
      <c r="A68" s="7" t="s">
        <v>86</v>
      </c>
      <c r="B68" s="13">
        <v>43173.34233796296</v>
      </c>
      <c r="C68" s="13">
        <v>43179.342342342337</v>
      </c>
      <c r="D68" s="8" t="s">
        <v>1022</v>
      </c>
      <c r="E68" s="8" t="s">
        <v>1090</v>
      </c>
      <c r="F68" s="8" t="s">
        <v>2032</v>
      </c>
      <c r="G68" s="8" t="s">
        <v>2407</v>
      </c>
      <c r="H68" s="8" t="s">
        <v>2409</v>
      </c>
      <c r="I68" s="8" t="s">
        <v>2418</v>
      </c>
      <c r="J68" s="16" t="s">
        <v>2410</v>
      </c>
      <c r="K68" s="16">
        <v>60008</v>
      </c>
      <c r="L68" s="8" t="s">
        <v>2419</v>
      </c>
      <c r="M68" s="8" t="s">
        <v>2489</v>
      </c>
      <c r="N68" s="8" t="s">
        <v>3372</v>
      </c>
      <c r="O68" s="8" t="s">
        <v>3376</v>
      </c>
      <c r="P68" s="8" t="s">
        <v>3446</v>
      </c>
      <c r="Q68" s="8">
        <v>4799.87</v>
      </c>
      <c r="R68" s="16">
        <v>8</v>
      </c>
      <c r="S68" s="21">
        <v>0.37</v>
      </c>
      <c r="T68" s="16">
        <v>572.08000000000004</v>
      </c>
    </row>
    <row r="69" spans="1:20" x14ac:dyDescent="0.3">
      <c r="A69" s="5" t="s">
        <v>87</v>
      </c>
      <c r="B69" s="12">
        <v>43174.438437500001</v>
      </c>
      <c r="C69" s="12">
        <v>43178.438438438439</v>
      </c>
      <c r="D69" s="6" t="s">
        <v>1022</v>
      </c>
      <c r="E69" s="6" t="s">
        <v>1091</v>
      </c>
      <c r="F69" s="6" t="s">
        <v>2033</v>
      </c>
      <c r="G69" s="6" t="s">
        <v>2407</v>
      </c>
      <c r="H69" s="6" t="s">
        <v>2409</v>
      </c>
      <c r="I69" s="6" t="s">
        <v>2413</v>
      </c>
      <c r="J69" s="15" t="s">
        <v>3897</v>
      </c>
      <c r="K69" s="15">
        <v>18993</v>
      </c>
      <c r="L69" s="6" t="s">
        <v>2422</v>
      </c>
      <c r="M69" s="6" t="s">
        <v>2490</v>
      </c>
      <c r="N69" s="6" t="s">
        <v>3371</v>
      </c>
      <c r="O69" s="6" t="s">
        <v>3383</v>
      </c>
      <c r="P69" s="6" t="s">
        <v>3447</v>
      </c>
      <c r="Q69" s="6">
        <v>444.85</v>
      </c>
      <c r="R69" s="15">
        <v>2</v>
      </c>
      <c r="S69" s="20">
        <v>0.4</v>
      </c>
      <c r="T69" s="15">
        <v>-88.79</v>
      </c>
    </row>
    <row r="70" spans="1:20" x14ac:dyDescent="0.3">
      <c r="A70" s="7" t="s">
        <v>88</v>
      </c>
      <c r="B70" s="13">
        <v>43175.534537037034</v>
      </c>
      <c r="C70" s="13">
        <v>43180.534534534527</v>
      </c>
      <c r="D70" s="8" t="s">
        <v>1020</v>
      </c>
      <c r="E70" s="8" t="s">
        <v>1092</v>
      </c>
      <c r="F70" s="8" t="s">
        <v>2011</v>
      </c>
      <c r="G70" s="8" t="s">
        <v>2408</v>
      </c>
      <c r="H70" s="8" t="s">
        <v>2409</v>
      </c>
      <c r="I70" s="8" t="s">
        <v>2414</v>
      </c>
      <c r="J70" s="16" t="s">
        <v>3891</v>
      </c>
      <c r="K70" s="16">
        <v>50703</v>
      </c>
      <c r="L70" s="8" t="s">
        <v>2420</v>
      </c>
      <c r="M70" s="8" t="s">
        <v>2491</v>
      </c>
      <c r="N70" s="8" t="s">
        <v>3372</v>
      </c>
      <c r="O70" s="8" t="s">
        <v>3377</v>
      </c>
      <c r="P70" s="8" t="s">
        <v>3448</v>
      </c>
      <c r="Q70" s="8">
        <v>1405.66</v>
      </c>
      <c r="R70" s="16">
        <v>5</v>
      </c>
      <c r="S70" s="21">
        <v>0.78</v>
      </c>
      <c r="T70" s="16">
        <v>830.57</v>
      </c>
    </row>
    <row r="71" spans="1:20" x14ac:dyDescent="0.3">
      <c r="A71" s="5" t="s">
        <v>89</v>
      </c>
      <c r="B71" s="12">
        <v>43176.630624999998</v>
      </c>
      <c r="C71" s="12">
        <v>43182.630630630621</v>
      </c>
      <c r="D71" s="6" t="s">
        <v>1021</v>
      </c>
      <c r="E71" s="6" t="s">
        <v>1093</v>
      </c>
      <c r="F71" s="6" t="s">
        <v>2033</v>
      </c>
      <c r="G71" s="6" t="s">
        <v>2407</v>
      </c>
      <c r="H71" s="6" t="s">
        <v>2409</v>
      </c>
      <c r="I71" s="6" t="s">
        <v>2412</v>
      </c>
      <c r="J71" s="15" t="s">
        <v>3895</v>
      </c>
      <c r="K71" s="15">
        <v>87755</v>
      </c>
      <c r="L71" s="6" t="s">
        <v>2422</v>
      </c>
      <c r="M71" s="6" t="s">
        <v>2492</v>
      </c>
      <c r="N71" s="6" t="s">
        <v>3372</v>
      </c>
      <c r="O71" s="6" t="s">
        <v>3384</v>
      </c>
      <c r="P71" s="6" t="s">
        <v>3449</v>
      </c>
      <c r="Q71" s="6">
        <v>3309.5</v>
      </c>
      <c r="R71" s="15">
        <v>4</v>
      </c>
      <c r="S71" s="20">
        <v>0.28999999999999998</v>
      </c>
      <c r="T71" s="15">
        <v>1209.74</v>
      </c>
    </row>
    <row r="72" spans="1:20" x14ac:dyDescent="0.3">
      <c r="A72" s="7" t="s">
        <v>90</v>
      </c>
      <c r="B72" s="13">
        <v>43177.726724537039</v>
      </c>
      <c r="C72" s="13">
        <v>43180.726726726723</v>
      </c>
      <c r="D72" s="8" t="s">
        <v>1023</v>
      </c>
      <c r="E72" s="8" t="s">
        <v>1094</v>
      </c>
      <c r="F72" s="8" t="s">
        <v>2034</v>
      </c>
      <c r="G72" s="8" t="s">
        <v>2407</v>
      </c>
      <c r="H72" s="8" t="s">
        <v>2409</v>
      </c>
      <c r="I72" s="8" t="s">
        <v>2418</v>
      </c>
      <c r="J72" s="16" t="s">
        <v>3897</v>
      </c>
      <c r="K72" s="16">
        <v>21771</v>
      </c>
      <c r="L72" s="8" t="s">
        <v>2421</v>
      </c>
      <c r="M72" s="8" t="s">
        <v>2493</v>
      </c>
      <c r="N72" s="8" t="s">
        <v>3372</v>
      </c>
      <c r="O72" s="8" t="s">
        <v>3377</v>
      </c>
      <c r="P72" s="8" t="s">
        <v>3450</v>
      </c>
      <c r="Q72" s="8">
        <v>3482.33</v>
      </c>
      <c r="R72" s="16">
        <v>8</v>
      </c>
      <c r="S72" s="21">
        <v>0.63</v>
      </c>
      <c r="T72" s="16">
        <v>991.59</v>
      </c>
    </row>
    <row r="73" spans="1:20" x14ac:dyDescent="0.3">
      <c r="A73" s="5" t="s">
        <v>91</v>
      </c>
      <c r="B73" s="12">
        <v>43178.822824074072</v>
      </c>
      <c r="C73" s="12">
        <v>43181.822822822811</v>
      </c>
      <c r="D73" s="6" t="s">
        <v>1022</v>
      </c>
      <c r="E73" s="6" t="s">
        <v>1095</v>
      </c>
      <c r="F73" s="6" t="s">
        <v>2035</v>
      </c>
      <c r="G73" s="6" t="s">
        <v>2407</v>
      </c>
      <c r="H73" s="6" t="s">
        <v>2409</v>
      </c>
      <c r="I73" s="6" t="s">
        <v>2418</v>
      </c>
      <c r="J73" s="15" t="s">
        <v>3898</v>
      </c>
      <c r="K73" s="15">
        <v>48392</v>
      </c>
      <c r="L73" s="6" t="s">
        <v>2420</v>
      </c>
      <c r="M73" s="6" t="s">
        <v>2494</v>
      </c>
      <c r="N73" s="6" t="s">
        <v>3371</v>
      </c>
      <c r="O73" s="6" t="s">
        <v>3374</v>
      </c>
      <c r="P73" s="6" t="s">
        <v>3451</v>
      </c>
      <c r="Q73" s="6">
        <v>628.12</v>
      </c>
      <c r="R73" s="15">
        <v>14</v>
      </c>
      <c r="S73" s="20">
        <v>0.75</v>
      </c>
      <c r="T73" s="15">
        <v>253.41</v>
      </c>
    </row>
    <row r="74" spans="1:20" x14ac:dyDescent="0.3">
      <c r="A74" s="7" t="s">
        <v>92</v>
      </c>
      <c r="B74" s="13">
        <v>43179.918923611112</v>
      </c>
      <c r="C74" s="13">
        <v>43185.918918918913</v>
      </c>
      <c r="D74" s="8" t="s">
        <v>1022</v>
      </c>
      <c r="E74" s="8" t="s">
        <v>1096</v>
      </c>
      <c r="F74" s="8" t="s">
        <v>2036</v>
      </c>
      <c r="G74" s="8" t="s">
        <v>2408</v>
      </c>
      <c r="H74" s="8" t="s">
        <v>2409</v>
      </c>
      <c r="I74" s="8" t="s">
        <v>2415</v>
      </c>
      <c r="J74" s="16" t="s">
        <v>2410</v>
      </c>
      <c r="K74" s="16">
        <v>46296</v>
      </c>
      <c r="L74" s="8" t="s">
        <v>2419</v>
      </c>
      <c r="M74" s="8" t="s">
        <v>2495</v>
      </c>
      <c r="N74" s="8" t="s">
        <v>3373</v>
      </c>
      <c r="O74" s="8" t="s">
        <v>3380</v>
      </c>
      <c r="P74" s="8" t="s">
        <v>3452</v>
      </c>
      <c r="Q74" s="8">
        <v>2051.4699999999998</v>
      </c>
      <c r="R74" s="16">
        <v>7</v>
      </c>
      <c r="S74" s="21">
        <v>0.68</v>
      </c>
      <c r="T74" s="16">
        <v>641.95000000000005</v>
      </c>
    </row>
    <row r="75" spans="1:20" x14ac:dyDescent="0.3">
      <c r="A75" s="5" t="s">
        <v>93</v>
      </c>
      <c r="B75" s="12">
        <v>43181.015011574076</v>
      </c>
      <c r="C75" s="12">
        <v>43187.015015015008</v>
      </c>
      <c r="D75" s="6" t="s">
        <v>1020</v>
      </c>
      <c r="E75" s="6" t="s">
        <v>1097</v>
      </c>
      <c r="F75" s="6" t="s">
        <v>2037</v>
      </c>
      <c r="G75" s="6" t="s">
        <v>2406</v>
      </c>
      <c r="H75" s="6" t="s">
        <v>2409</v>
      </c>
      <c r="I75" s="6" t="s">
        <v>2410</v>
      </c>
      <c r="J75" s="15" t="s">
        <v>3896</v>
      </c>
      <c r="K75" s="15">
        <v>70125</v>
      </c>
      <c r="L75" s="6" t="s">
        <v>2422</v>
      </c>
      <c r="M75" s="6" t="s">
        <v>2496</v>
      </c>
      <c r="N75" s="6" t="s">
        <v>3371</v>
      </c>
      <c r="O75" s="6" t="s">
        <v>3382</v>
      </c>
      <c r="P75" s="6" t="s">
        <v>3453</v>
      </c>
      <c r="Q75" s="6">
        <v>293.35000000000002</v>
      </c>
      <c r="R75" s="15">
        <v>14</v>
      </c>
      <c r="S75" s="20">
        <v>0.02</v>
      </c>
      <c r="T75" s="15">
        <v>19.59</v>
      </c>
    </row>
    <row r="76" spans="1:20" x14ac:dyDescent="0.3">
      <c r="A76" s="7" t="s">
        <v>94</v>
      </c>
      <c r="B76" s="13">
        <v>43182.111111111109</v>
      </c>
      <c r="C76" s="13">
        <v>43185.111111111109</v>
      </c>
      <c r="D76" s="8" t="s">
        <v>1022</v>
      </c>
      <c r="E76" s="8" t="s">
        <v>1098</v>
      </c>
      <c r="F76" s="8" t="s">
        <v>2038</v>
      </c>
      <c r="G76" s="8" t="s">
        <v>2408</v>
      </c>
      <c r="H76" s="8" t="s">
        <v>2409</v>
      </c>
      <c r="I76" s="8" t="s">
        <v>2418</v>
      </c>
      <c r="J76" s="16" t="s">
        <v>3896</v>
      </c>
      <c r="K76" s="16">
        <v>14106</v>
      </c>
      <c r="L76" s="8" t="s">
        <v>2419</v>
      </c>
      <c r="M76" s="8" t="s">
        <v>2497</v>
      </c>
      <c r="N76" s="8" t="s">
        <v>3373</v>
      </c>
      <c r="O76" s="8" t="s">
        <v>3379</v>
      </c>
      <c r="P76" s="8" t="s">
        <v>3454</v>
      </c>
      <c r="Q76" s="8">
        <v>1838.13</v>
      </c>
      <c r="R76" s="16">
        <v>8</v>
      </c>
      <c r="S76" s="21">
        <v>0.11</v>
      </c>
      <c r="T76" s="16">
        <v>510.36</v>
      </c>
    </row>
    <row r="77" spans="1:20" x14ac:dyDescent="0.3">
      <c r="A77" s="5" t="s">
        <v>95</v>
      </c>
      <c r="B77" s="12">
        <v>43183.20721064815</v>
      </c>
      <c r="C77" s="12">
        <v>43187.207207207197</v>
      </c>
      <c r="D77" s="6" t="s">
        <v>1021</v>
      </c>
      <c r="E77" s="6" t="s">
        <v>1099</v>
      </c>
      <c r="F77" s="6" t="s">
        <v>2039</v>
      </c>
      <c r="G77" s="6" t="s">
        <v>2408</v>
      </c>
      <c r="H77" s="6" t="s">
        <v>2409</v>
      </c>
      <c r="I77" s="6" t="s">
        <v>2414</v>
      </c>
      <c r="J77" s="15" t="s">
        <v>3893</v>
      </c>
      <c r="K77" s="15">
        <v>32033</v>
      </c>
      <c r="L77" s="6" t="s">
        <v>2422</v>
      </c>
      <c r="M77" s="6" t="s">
        <v>2498</v>
      </c>
      <c r="N77" s="6" t="s">
        <v>3371</v>
      </c>
      <c r="O77" s="6" t="s">
        <v>3374</v>
      </c>
      <c r="P77" s="6" t="s">
        <v>3455</v>
      </c>
      <c r="Q77" s="6">
        <v>1148.3399999999999</v>
      </c>
      <c r="R77" s="15">
        <v>1</v>
      </c>
      <c r="S77" s="20">
        <v>0.85</v>
      </c>
      <c r="T77" s="15">
        <v>98.85</v>
      </c>
    </row>
    <row r="78" spans="1:20" x14ac:dyDescent="0.3">
      <c r="A78" s="7" t="s">
        <v>96</v>
      </c>
      <c r="B78" s="13">
        <v>43184.303298611114</v>
      </c>
      <c r="C78" s="13">
        <v>43189.303303303299</v>
      </c>
      <c r="D78" s="8" t="s">
        <v>1022</v>
      </c>
      <c r="E78" s="8" t="s">
        <v>1100</v>
      </c>
      <c r="F78" s="8" t="s">
        <v>2040</v>
      </c>
      <c r="G78" s="8" t="s">
        <v>2406</v>
      </c>
      <c r="H78" s="8" t="s">
        <v>2409</v>
      </c>
      <c r="I78" s="8" t="s">
        <v>2417</v>
      </c>
      <c r="J78" s="16" t="s">
        <v>3897</v>
      </c>
      <c r="K78" s="16">
        <v>16141</v>
      </c>
      <c r="L78" s="8" t="s">
        <v>2422</v>
      </c>
      <c r="M78" s="8" t="s">
        <v>2499</v>
      </c>
      <c r="N78" s="8" t="s">
        <v>3372</v>
      </c>
      <c r="O78" s="8" t="s">
        <v>3378</v>
      </c>
      <c r="P78" s="8" t="s">
        <v>3456</v>
      </c>
      <c r="Q78" s="8">
        <v>4245.6099999999997</v>
      </c>
      <c r="R78" s="16">
        <v>12</v>
      </c>
      <c r="S78" s="21">
        <v>0.41</v>
      </c>
      <c r="T78" s="16">
        <v>-783.71</v>
      </c>
    </row>
    <row r="79" spans="1:20" x14ac:dyDescent="0.3">
      <c r="A79" s="5" t="s">
        <v>97</v>
      </c>
      <c r="B79" s="12">
        <v>43185.399398148147</v>
      </c>
      <c r="C79" s="12">
        <v>43188.399399399401</v>
      </c>
      <c r="D79" s="6" t="s">
        <v>1022</v>
      </c>
      <c r="E79" s="6" t="s">
        <v>1101</v>
      </c>
      <c r="F79" s="6" t="s">
        <v>2041</v>
      </c>
      <c r="G79" s="6" t="s">
        <v>2406</v>
      </c>
      <c r="H79" s="6" t="s">
        <v>2409</v>
      </c>
      <c r="I79" s="6" t="s">
        <v>2415</v>
      </c>
      <c r="J79" s="15" t="s">
        <v>3894</v>
      </c>
      <c r="K79" s="15">
        <v>10474</v>
      </c>
      <c r="L79" s="6" t="s">
        <v>2419</v>
      </c>
      <c r="M79" s="6" t="s">
        <v>2500</v>
      </c>
      <c r="N79" s="6" t="s">
        <v>3373</v>
      </c>
      <c r="O79" s="6" t="s">
        <v>3379</v>
      </c>
      <c r="P79" s="6" t="s">
        <v>3457</v>
      </c>
      <c r="Q79" s="6">
        <v>1594.7</v>
      </c>
      <c r="R79" s="15">
        <v>7</v>
      </c>
      <c r="S79" s="20">
        <v>0.47</v>
      </c>
      <c r="T79" s="15">
        <v>949.74</v>
      </c>
    </row>
    <row r="80" spans="1:20" x14ac:dyDescent="0.3">
      <c r="A80" s="7" t="s">
        <v>98</v>
      </c>
      <c r="B80" s="13">
        <v>43186.495497685188</v>
      </c>
      <c r="C80" s="13">
        <v>43190.495495495488</v>
      </c>
      <c r="D80" s="8" t="s">
        <v>1021</v>
      </c>
      <c r="E80" s="8" t="s">
        <v>1102</v>
      </c>
      <c r="F80" s="8" t="s">
        <v>2042</v>
      </c>
      <c r="G80" s="8" t="s">
        <v>2407</v>
      </c>
      <c r="H80" s="8" t="s">
        <v>2409</v>
      </c>
      <c r="I80" s="8" t="s">
        <v>2415</v>
      </c>
      <c r="J80" s="16" t="s">
        <v>3895</v>
      </c>
      <c r="K80" s="16">
        <v>90957</v>
      </c>
      <c r="L80" s="8" t="s">
        <v>2419</v>
      </c>
      <c r="M80" s="8" t="s">
        <v>2501</v>
      </c>
      <c r="N80" s="8" t="s">
        <v>3372</v>
      </c>
      <c r="O80" s="8" t="s">
        <v>3378</v>
      </c>
      <c r="P80" s="8" t="s">
        <v>3458</v>
      </c>
      <c r="Q80" s="8">
        <v>389.11</v>
      </c>
      <c r="R80" s="16">
        <v>1</v>
      </c>
      <c r="S80" s="21">
        <v>0.78</v>
      </c>
      <c r="T80" s="16">
        <v>17.93</v>
      </c>
    </row>
    <row r="81" spans="1:20" x14ac:dyDescent="0.3">
      <c r="A81" s="5" t="s">
        <v>99</v>
      </c>
      <c r="B81" s="12">
        <v>43187.591597222221</v>
      </c>
      <c r="C81" s="12">
        <v>43191.591591591583</v>
      </c>
      <c r="D81" s="6" t="s">
        <v>1023</v>
      </c>
      <c r="E81" s="6" t="s">
        <v>1103</v>
      </c>
      <c r="F81" s="6" t="s">
        <v>2043</v>
      </c>
      <c r="G81" s="6" t="s">
        <v>2406</v>
      </c>
      <c r="H81" s="6" t="s">
        <v>2409</v>
      </c>
      <c r="I81" s="6" t="s">
        <v>2412</v>
      </c>
      <c r="J81" s="15" t="s">
        <v>3898</v>
      </c>
      <c r="K81" s="15">
        <v>85646</v>
      </c>
      <c r="L81" s="6" t="s">
        <v>2420</v>
      </c>
      <c r="M81" s="6" t="s">
        <v>2502</v>
      </c>
      <c r="N81" s="6" t="s">
        <v>3372</v>
      </c>
      <c r="O81" s="6" t="s">
        <v>3378</v>
      </c>
      <c r="P81" s="6" t="s">
        <v>3459</v>
      </c>
      <c r="Q81" s="6">
        <v>3680.47</v>
      </c>
      <c r="R81" s="15">
        <v>6</v>
      </c>
      <c r="S81" s="20">
        <v>0.7</v>
      </c>
      <c r="T81" s="15">
        <v>-628.4</v>
      </c>
    </row>
    <row r="82" spans="1:20" x14ac:dyDescent="0.3">
      <c r="A82" s="7" t="s">
        <v>100</v>
      </c>
      <c r="B82" s="13">
        <v>43188.687685185185</v>
      </c>
      <c r="C82" s="13">
        <v>43194.687687687678</v>
      </c>
      <c r="D82" s="8" t="s">
        <v>1020</v>
      </c>
      <c r="E82" s="8" t="s">
        <v>1104</v>
      </c>
      <c r="F82" s="8" t="s">
        <v>2044</v>
      </c>
      <c r="G82" s="8" t="s">
        <v>2406</v>
      </c>
      <c r="H82" s="8" t="s">
        <v>2409</v>
      </c>
      <c r="I82" s="8" t="s">
        <v>2414</v>
      </c>
      <c r="J82" s="16" t="s">
        <v>3898</v>
      </c>
      <c r="K82" s="16">
        <v>95458</v>
      </c>
      <c r="L82" s="8" t="s">
        <v>2422</v>
      </c>
      <c r="M82" s="8" t="s">
        <v>2503</v>
      </c>
      <c r="N82" s="8" t="s">
        <v>3371</v>
      </c>
      <c r="O82" s="8" t="s">
        <v>3375</v>
      </c>
      <c r="P82" s="8" t="s">
        <v>3460</v>
      </c>
      <c r="Q82" s="8">
        <v>2537.25</v>
      </c>
      <c r="R82" s="16">
        <v>8</v>
      </c>
      <c r="S82" s="21">
        <v>0.39</v>
      </c>
      <c r="T82" s="16">
        <v>596.67999999999995</v>
      </c>
    </row>
    <row r="83" spans="1:20" x14ac:dyDescent="0.3">
      <c r="A83" s="5" t="s">
        <v>101</v>
      </c>
      <c r="B83" s="12">
        <v>43189.783784722225</v>
      </c>
      <c r="C83" s="12">
        <v>43192.783783783772</v>
      </c>
      <c r="D83" s="6" t="s">
        <v>1023</v>
      </c>
      <c r="E83" s="6" t="s">
        <v>1105</v>
      </c>
      <c r="F83" s="6" t="s">
        <v>2045</v>
      </c>
      <c r="G83" s="6" t="s">
        <v>2408</v>
      </c>
      <c r="H83" s="6" t="s">
        <v>2409</v>
      </c>
      <c r="I83" s="6" t="s">
        <v>2418</v>
      </c>
      <c r="J83" s="15" t="s">
        <v>3894</v>
      </c>
      <c r="K83" s="15">
        <v>59210</v>
      </c>
      <c r="L83" s="6" t="s">
        <v>2421</v>
      </c>
      <c r="M83" s="6" t="s">
        <v>2504</v>
      </c>
      <c r="N83" s="6" t="s">
        <v>3372</v>
      </c>
      <c r="O83" s="6" t="s">
        <v>3376</v>
      </c>
      <c r="P83" s="6" t="s">
        <v>3461</v>
      </c>
      <c r="Q83" s="6">
        <v>2960.43</v>
      </c>
      <c r="R83" s="15">
        <v>8</v>
      </c>
      <c r="S83" s="20">
        <v>0.38</v>
      </c>
      <c r="T83" s="15">
        <v>-279.63</v>
      </c>
    </row>
    <row r="84" spans="1:20" x14ac:dyDescent="0.3">
      <c r="A84" s="7" t="s">
        <v>102</v>
      </c>
      <c r="B84" s="13">
        <v>43190.879884259259</v>
      </c>
      <c r="C84" s="13">
        <v>43191.879879879867</v>
      </c>
      <c r="D84" s="8" t="s">
        <v>1022</v>
      </c>
      <c r="E84" s="8" t="s">
        <v>1106</v>
      </c>
      <c r="F84" s="8" t="s">
        <v>2046</v>
      </c>
      <c r="G84" s="8" t="s">
        <v>2407</v>
      </c>
      <c r="H84" s="8" t="s">
        <v>2409</v>
      </c>
      <c r="I84" s="8" t="s">
        <v>2418</v>
      </c>
      <c r="J84" s="16" t="s">
        <v>3898</v>
      </c>
      <c r="K84" s="16">
        <v>61385</v>
      </c>
      <c r="L84" s="8" t="s">
        <v>2419</v>
      </c>
      <c r="M84" s="8" t="s">
        <v>2505</v>
      </c>
      <c r="N84" s="8" t="s">
        <v>3373</v>
      </c>
      <c r="O84" s="8" t="s">
        <v>3385</v>
      </c>
      <c r="P84" s="8" t="s">
        <v>3462</v>
      </c>
      <c r="Q84" s="8">
        <v>4342.87</v>
      </c>
      <c r="R84" s="16">
        <v>13</v>
      </c>
      <c r="S84" s="21">
        <v>0.41</v>
      </c>
      <c r="T84" s="16">
        <v>1111.76</v>
      </c>
    </row>
    <row r="85" spans="1:20" x14ac:dyDescent="0.3">
      <c r="A85" s="5" t="s">
        <v>103</v>
      </c>
      <c r="B85" s="12">
        <v>43191.975972222222</v>
      </c>
      <c r="C85" s="12">
        <v>43194.975975975969</v>
      </c>
      <c r="D85" s="6" t="s">
        <v>1020</v>
      </c>
      <c r="E85" s="6" t="s">
        <v>1107</v>
      </c>
      <c r="F85" s="6" t="s">
        <v>2047</v>
      </c>
      <c r="G85" s="6" t="s">
        <v>2408</v>
      </c>
      <c r="H85" s="6" t="s">
        <v>2409</v>
      </c>
      <c r="I85" s="6" t="s">
        <v>2417</v>
      </c>
      <c r="J85" s="15" t="s">
        <v>3897</v>
      </c>
      <c r="K85" s="15">
        <v>32794</v>
      </c>
      <c r="L85" s="6" t="s">
        <v>2421</v>
      </c>
      <c r="M85" s="6" t="s">
        <v>2506</v>
      </c>
      <c r="N85" s="6" t="s">
        <v>3373</v>
      </c>
      <c r="O85" s="6" t="s">
        <v>3381</v>
      </c>
      <c r="P85" s="6" t="s">
        <v>3454</v>
      </c>
      <c r="Q85" s="6">
        <v>3217.35</v>
      </c>
      <c r="R85" s="15">
        <v>9</v>
      </c>
      <c r="S85" s="20">
        <v>0.77</v>
      </c>
      <c r="T85" s="15">
        <v>350.56</v>
      </c>
    </row>
    <row r="86" spans="1:20" x14ac:dyDescent="0.3">
      <c r="A86" s="7" t="s">
        <v>104</v>
      </c>
      <c r="B86" s="13">
        <v>43193.072071759256</v>
      </c>
      <c r="C86" s="13">
        <v>43194.072072072071</v>
      </c>
      <c r="D86" s="8" t="s">
        <v>1020</v>
      </c>
      <c r="E86" s="8" t="s">
        <v>1108</v>
      </c>
      <c r="F86" s="8" t="s">
        <v>2018</v>
      </c>
      <c r="G86" s="8" t="s">
        <v>2407</v>
      </c>
      <c r="H86" s="8" t="s">
        <v>2409</v>
      </c>
      <c r="I86" s="8" t="s">
        <v>2418</v>
      </c>
      <c r="J86" s="16" t="s">
        <v>3892</v>
      </c>
      <c r="K86" s="16">
        <v>71959</v>
      </c>
      <c r="L86" s="8" t="s">
        <v>2421</v>
      </c>
      <c r="M86" s="8" t="s">
        <v>2507</v>
      </c>
      <c r="N86" s="8" t="s">
        <v>3372</v>
      </c>
      <c r="O86" s="8" t="s">
        <v>3377</v>
      </c>
      <c r="P86" s="8" t="s">
        <v>3463</v>
      </c>
      <c r="Q86" s="8">
        <v>3380.29</v>
      </c>
      <c r="R86" s="16">
        <v>11</v>
      </c>
      <c r="S86" s="21">
        <v>0.5</v>
      </c>
      <c r="T86" s="16">
        <v>-452.73</v>
      </c>
    </row>
    <row r="87" spans="1:20" x14ac:dyDescent="0.3">
      <c r="A87" s="5" t="s">
        <v>105</v>
      </c>
      <c r="B87" s="12">
        <v>43194.168171296296</v>
      </c>
      <c r="C87" s="12">
        <v>43200.168168168158</v>
      </c>
      <c r="D87" s="6" t="s">
        <v>1023</v>
      </c>
      <c r="E87" s="6" t="s">
        <v>1109</v>
      </c>
      <c r="F87" s="6" t="s">
        <v>2048</v>
      </c>
      <c r="G87" s="6" t="s">
        <v>2407</v>
      </c>
      <c r="H87" s="6" t="s">
        <v>2409</v>
      </c>
      <c r="I87" s="6" t="s">
        <v>2411</v>
      </c>
      <c r="J87" s="15" t="s">
        <v>3895</v>
      </c>
      <c r="K87" s="15">
        <v>65225</v>
      </c>
      <c r="L87" s="6" t="s">
        <v>2421</v>
      </c>
      <c r="M87" s="6" t="s">
        <v>2508</v>
      </c>
      <c r="N87" s="6" t="s">
        <v>3371</v>
      </c>
      <c r="O87" s="6" t="s">
        <v>3375</v>
      </c>
      <c r="P87" s="6" t="s">
        <v>3464</v>
      </c>
      <c r="Q87" s="6">
        <v>3662.8</v>
      </c>
      <c r="R87" s="15">
        <v>10</v>
      </c>
      <c r="S87" s="20">
        <v>0.62</v>
      </c>
      <c r="T87" s="15">
        <v>1078.7</v>
      </c>
    </row>
    <row r="88" spans="1:20" x14ac:dyDescent="0.3">
      <c r="A88" s="7" t="s">
        <v>106</v>
      </c>
      <c r="B88" s="13">
        <v>43195.26425925926</v>
      </c>
      <c r="C88" s="13">
        <v>43196.26426426426</v>
      </c>
      <c r="D88" s="8" t="s">
        <v>1021</v>
      </c>
      <c r="E88" s="8" t="s">
        <v>1110</v>
      </c>
      <c r="F88" s="8" t="s">
        <v>2049</v>
      </c>
      <c r="G88" s="8" t="s">
        <v>2407</v>
      </c>
      <c r="H88" s="8" t="s">
        <v>2409</v>
      </c>
      <c r="I88" s="8" t="s">
        <v>2417</v>
      </c>
      <c r="J88" s="16" t="s">
        <v>3896</v>
      </c>
      <c r="K88" s="16">
        <v>85467</v>
      </c>
      <c r="L88" s="8" t="s">
        <v>2420</v>
      </c>
      <c r="M88" s="8" t="s">
        <v>2509</v>
      </c>
      <c r="N88" s="8" t="s">
        <v>3372</v>
      </c>
      <c r="O88" s="8" t="s">
        <v>3376</v>
      </c>
      <c r="P88" s="8" t="s">
        <v>3465</v>
      </c>
      <c r="Q88" s="8">
        <v>435.22</v>
      </c>
      <c r="R88" s="16">
        <v>11</v>
      </c>
      <c r="S88" s="21">
        <v>7.0000000000000007E-2</v>
      </c>
      <c r="T88" s="16">
        <v>92.81</v>
      </c>
    </row>
    <row r="89" spans="1:20" x14ac:dyDescent="0.3">
      <c r="A89" s="5" t="s">
        <v>107</v>
      </c>
      <c r="B89" s="12">
        <v>43196.360358796293</v>
      </c>
      <c r="C89" s="12">
        <v>43201.360360360362</v>
      </c>
      <c r="D89" s="6" t="s">
        <v>1023</v>
      </c>
      <c r="E89" s="6" t="s">
        <v>1111</v>
      </c>
      <c r="F89" s="6" t="s">
        <v>2050</v>
      </c>
      <c r="G89" s="6" t="s">
        <v>2408</v>
      </c>
      <c r="H89" s="6" t="s">
        <v>2409</v>
      </c>
      <c r="I89" s="6" t="s">
        <v>2418</v>
      </c>
      <c r="J89" s="15" t="s">
        <v>3893</v>
      </c>
      <c r="K89" s="15">
        <v>48956</v>
      </c>
      <c r="L89" s="6" t="s">
        <v>2420</v>
      </c>
      <c r="M89" s="6" t="s">
        <v>2510</v>
      </c>
      <c r="N89" s="6" t="s">
        <v>3371</v>
      </c>
      <c r="O89" s="6" t="s">
        <v>3374</v>
      </c>
      <c r="P89" s="6" t="s">
        <v>3466</v>
      </c>
      <c r="Q89" s="6">
        <v>585.67999999999995</v>
      </c>
      <c r="R89" s="15">
        <v>14</v>
      </c>
      <c r="S89" s="20">
        <v>0.87</v>
      </c>
      <c r="T89" s="15">
        <v>1.89</v>
      </c>
    </row>
    <row r="90" spans="1:20" x14ac:dyDescent="0.3">
      <c r="A90" s="7" t="s">
        <v>108</v>
      </c>
      <c r="B90" s="13">
        <v>43197.456458333334</v>
      </c>
      <c r="C90" s="13">
        <v>43201.45645645645</v>
      </c>
      <c r="D90" s="8" t="s">
        <v>1021</v>
      </c>
      <c r="E90" s="8" t="s">
        <v>1112</v>
      </c>
      <c r="F90" s="8" t="s">
        <v>2051</v>
      </c>
      <c r="G90" s="8" t="s">
        <v>2408</v>
      </c>
      <c r="H90" s="8" t="s">
        <v>2409</v>
      </c>
      <c r="I90" s="8" t="s">
        <v>2415</v>
      </c>
      <c r="J90" s="16" t="s">
        <v>3895</v>
      </c>
      <c r="K90" s="16">
        <v>66808</v>
      </c>
      <c r="L90" s="8" t="s">
        <v>2420</v>
      </c>
      <c r="M90" s="8" t="s">
        <v>2511</v>
      </c>
      <c r="N90" s="8" t="s">
        <v>3373</v>
      </c>
      <c r="O90" s="8" t="s">
        <v>3381</v>
      </c>
      <c r="P90" s="8" t="s">
        <v>3467</v>
      </c>
      <c r="Q90" s="8">
        <v>1876.13</v>
      </c>
      <c r="R90" s="16">
        <v>4</v>
      </c>
      <c r="S90" s="21">
        <v>0.41</v>
      </c>
      <c r="T90" s="16">
        <v>634.96</v>
      </c>
    </row>
    <row r="91" spans="1:20" x14ac:dyDescent="0.3">
      <c r="A91" s="5" t="s">
        <v>109</v>
      </c>
      <c r="B91" s="12">
        <v>43198.552557870367</v>
      </c>
      <c r="C91" s="12">
        <v>43200.552552552537</v>
      </c>
      <c r="D91" s="6" t="s">
        <v>1021</v>
      </c>
      <c r="E91" s="6" t="s">
        <v>1113</v>
      </c>
      <c r="F91" s="6" t="s">
        <v>1980</v>
      </c>
      <c r="G91" s="6" t="s">
        <v>2407</v>
      </c>
      <c r="H91" s="6" t="s">
        <v>2409</v>
      </c>
      <c r="I91" s="6" t="s">
        <v>2417</v>
      </c>
      <c r="J91" s="15" t="s">
        <v>3895</v>
      </c>
      <c r="K91" s="15">
        <v>34048</v>
      </c>
      <c r="L91" s="6" t="s">
        <v>2422</v>
      </c>
      <c r="M91" s="6" t="s">
        <v>2512</v>
      </c>
      <c r="N91" s="6" t="s">
        <v>3371</v>
      </c>
      <c r="O91" s="6" t="s">
        <v>3374</v>
      </c>
      <c r="P91" s="6" t="s">
        <v>3468</v>
      </c>
      <c r="Q91" s="6">
        <v>3873.23</v>
      </c>
      <c r="R91" s="15">
        <v>11</v>
      </c>
      <c r="S91" s="20">
        <v>0.32</v>
      </c>
      <c r="T91" s="15">
        <v>-642.36</v>
      </c>
    </row>
    <row r="92" spans="1:20" x14ac:dyDescent="0.3">
      <c r="A92" s="7" t="s">
        <v>110</v>
      </c>
      <c r="B92" s="13">
        <v>43199.648645833331</v>
      </c>
      <c r="C92" s="13">
        <v>43203.648648648646</v>
      </c>
      <c r="D92" s="8" t="s">
        <v>1022</v>
      </c>
      <c r="E92" s="8" t="s">
        <v>1114</v>
      </c>
      <c r="F92" s="8" t="s">
        <v>2052</v>
      </c>
      <c r="G92" s="8" t="s">
        <v>2407</v>
      </c>
      <c r="H92" s="8" t="s">
        <v>2409</v>
      </c>
      <c r="I92" s="8" t="s">
        <v>2417</v>
      </c>
      <c r="J92" s="16" t="s">
        <v>3893</v>
      </c>
      <c r="K92" s="16">
        <v>58593</v>
      </c>
      <c r="L92" s="8" t="s">
        <v>2419</v>
      </c>
      <c r="M92" s="8" t="s">
        <v>2513</v>
      </c>
      <c r="N92" s="8" t="s">
        <v>3373</v>
      </c>
      <c r="O92" s="8" t="s">
        <v>3381</v>
      </c>
      <c r="P92" s="8" t="s">
        <v>3469</v>
      </c>
      <c r="Q92" s="8">
        <v>1430.06</v>
      </c>
      <c r="R92" s="16">
        <v>14</v>
      </c>
      <c r="S92" s="21">
        <v>0.21</v>
      </c>
      <c r="T92" s="16">
        <v>679.72</v>
      </c>
    </row>
    <row r="93" spans="1:20" x14ac:dyDescent="0.3">
      <c r="A93" s="5" t="s">
        <v>111</v>
      </c>
      <c r="B93" s="12">
        <v>43200.744745370372</v>
      </c>
      <c r="C93" s="12">
        <v>43204.744744744727</v>
      </c>
      <c r="D93" s="6" t="s">
        <v>1020</v>
      </c>
      <c r="E93" s="6" t="s">
        <v>1115</v>
      </c>
      <c r="F93" s="6" t="s">
        <v>2053</v>
      </c>
      <c r="G93" s="6" t="s">
        <v>2406</v>
      </c>
      <c r="H93" s="6" t="s">
        <v>2409</v>
      </c>
      <c r="I93" s="6" t="s">
        <v>2412</v>
      </c>
      <c r="J93" s="15" t="s">
        <v>3891</v>
      </c>
      <c r="K93" s="15">
        <v>95145</v>
      </c>
      <c r="L93" s="6" t="s">
        <v>2420</v>
      </c>
      <c r="M93" s="6" t="s">
        <v>2514</v>
      </c>
      <c r="N93" s="6" t="s">
        <v>3372</v>
      </c>
      <c r="O93" s="6" t="s">
        <v>3378</v>
      </c>
      <c r="P93" s="6" t="s">
        <v>3470</v>
      </c>
      <c r="Q93" s="6">
        <v>1905.2</v>
      </c>
      <c r="R93" s="15">
        <v>7</v>
      </c>
      <c r="S93" s="20">
        <v>0.22</v>
      </c>
      <c r="T93" s="15">
        <v>966.73</v>
      </c>
    </row>
    <row r="94" spans="1:20" x14ac:dyDescent="0.3">
      <c r="A94" s="7" t="s">
        <v>112</v>
      </c>
      <c r="B94" s="13">
        <v>43201.840844907405</v>
      </c>
      <c r="C94" s="13">
        <v>43207.840840840843</v>
      </c>
      <c r="D94" s="8" t="s">
        <v>1022</v>
      </c>
      <c r="E94" s="8" t="s">
        <v>1116</v>
      </c>
      <c r="F94" s="8" t="s">
        <v>2054</v>
      </c>
      <c r="G94" s="8" t="s">
        <v>2408</v>
      </c>
      <c r="H94" s="8" t="s">
        <v>2409</v>
      </c>
      <c r="I94" s="8" t="s">
        <v>2414</v>
      </c>
      <c r="J94" s="16" t="s">
        <v>3894</v>
      </c>
      <c r="K94" s="16">
        <v>94487</v>
      </c>
      <c r="L94" s="8" t="s">
        <v>2420</v>
      </c>
      <c r="M94" s="8" t="s">
        <v>2515</v>
      </c>
      <c r="N94" s="8" t="s">
        <v>3373</v>
      </c>
      <c r="O94" s="8" t="s">
        <v>3385</v>
      </c>
      <c r="P94" s="8" t="s">
        <v>3471</v>
      </c>
      <c r="Q94" s="8">
        <v>3291.95</v>
      </c>
      <c r="R94" s="16">
        <v>5</v>
      </c>
      <c r="S94" s="21">
        <v>0.7</v>
      </c>
      <c r="T94" s="16">
        <v>-174.17</v>
      </c>
    </row>
    <row r="95" spans="1:20" x14ac:dyDescent="0.3">
      <c r="A95" s="5" t="s">
        <v>113</v>
      </c>
      <c r="B95" s="12">
        <v>43202.936932870369</v>
      </c>
      <c r="C95" s="12">
        <v>43208.936936936931</v>
      </c>
      <c r="D95" s="6" t="s">
        <v>1023</v>
      </c>
      <c r="E95" s="6" t="s">
        <v>1117</v>
      </c>
      <c r="F95" s="6" t="s">
        <v>1999</v>
      </c>
      <c r="G95" s="6" t="s">
        <v>2407</v>
      </c>
      <c r="H95" s="6" t="s">
        <v>2409</v>
      </c>
      <c r="I95" s="6" t="s">
        <v>2414</v>
      </c>
      <c r="J95" s="15" t="s">
        <v>3891</v>
      </c>
      <c r="K95" s="15">
        <v>63661</v>
      </c>
      <c r="L95" s="6" t="s">
        <v>2422</v>
      </c>
      <c r="M95" s="6" t="s">
        <v>2516</v>
      </c>
      <c r="N95" s="6" t="s">
        <v>3371</v>
      </c>
      <c r="O95" s="6" t="s">
        <v>3374</v>
      </c>
      <c r="P95" s="6" t="s">
        <v>3472</v>
      </c>
      <c r="Q95" s="6">
        <v>1017.16</v>
      </c>
      <c r="R95" s="15">
        <v>11</v>
      </c>
      <c r="S95" s="20">
        <v>0.24</v>
      </c>
      <c r="T95" s="15">
        <v>249.29</v>
      </c>
    </row>
    <row r="96" spans="1:20" x14ac:dyDescent="0.3">
      <c r="A96" s="7" t="s">
        <v>114</v>
      </c>
      <c r="B96" s="13">
        <v>43204.033032407409</v>
      </c>
      <c r="C96" s="13">
        <v>43205.033033033033</v>
      </c>
      <c r="D96" s="8" t="s">
        <v>1022</v>
      </c>
      <c r="E96" s="8" t="s">
        <v>1118</v>
      </c>
      <c r="F96" s="8" t="s">
        <v>2037</v>
      </c>
      <c r="G96" s="8" t="s">
        <v>2407</v>
      </c>
      <c r="H96" s="8" t="s">
        <v>2409</v>
      </c>
      <c r="I96" s="8" t="s">
        <v>2411</v>
      </c>
      <c r="J96" s="16" t="s">
        <v>3895</v>
      </c>
      <c r="K96" s="16">
        <v>67545</v>
      </c>
      <c r="L96" s="8" t="s">
        <v>2419</v>
      </c>
      <c r="M96" s="8" t="s">
        <v>2517</v>
      </c>
      <c r="N96" s="8" t="s">
        <v>3373</v>
      </c>
      <c r="O96" s="8" t="s">
        <v>3380</v>
      </c>
      <c r="P96" s="8" t="s">
        <v>3473</v>
      </c>
      <c r="Q96" s="8">
        <v>314.24</v>
      </c>
      <c r="R96" s="16">
        <v>5</v>
      </c>
      <c r="S96" s="21">
        <v>0.16</v>
      </c>
      <c r="T96" s="16">
        <v>-26.2</v>
      </c>
    </row>
    <row r="97" spans="1:20" x14ac:dyDescent="0.3">
      <c r="A97" s="5" t="s">
        <v>115</v>
      </c>
      <c r="B97" s="12">
        <v>43205.129131944443</v>
      </c>
      <c r="C97" s="12">
        <v>43207.12912912912</v>
      </c>
      <c r="D97" s="6" t="s">
        <v>1023</v>
      </c>
      <c r="E97" s="6" t="s">
        <v>1119</v>
      </c>
      <c r="F97" s="6" t="s">
        <v>2055</v>
      </c>
      <c r="G97" s="6" t="s">
        <v>2407</v>
      </c>
      <c r="H97" s="6" t="s">
        <v>2409</v>
      </c>
      <c r="I97" s="6" t="s">
        <v>2418</v>
      </c>
      <c r="J97" s="15" t="s">
        <v>3896</v>
      </c>
      <c r="K97" s="15">
        <v>90917</v>
      </c>
      <c r="L97" s="6" t="s">
        <v>2421</v>
      </c>
      <c r="M97" s="6" t="s">
        <v>2518</v>
      </c>
      <c r="N97" s="6" t="s">
        <v>3372</v>
      </c>
      <c r="O97" s="6" t="s">
        <v>3378</v>
      </c>
      <c r="P97" s="6" t="s">
        <v>3474</v>
      </c>
      <c r="Q97" s="6">
        <v>3328.38</v>
      </c>
      <c r="R97" s="15">
        <v>6</v>
      </c>
      <c r="S97" s="20">
        <v>0.2</v>
      </c>
      <c r="T97" s="15">
        <v>215.8</v>
      </c>
    </row>
    <row r="98" spans="1:20" x14ac:dyDescent="0.3">
      <c r="A98" s="7" t="s">
        <v>116</v>
      </c>
      <c r="B98" s="13">
        <v>43206.225219907406</v>
      </c>
      <c r="C98" s="13">
        <v>43209.225225225222</v>
      </c>
      <c r="D98" s="8" t="s">
        <v>1021</v>
      </c>
      <c r="E98" s="8" t="s">
        <v>1120</v>
      </c>
      <c r="F98" s="8" t="s">
        <v>1994</v>
      </c>
      <c r="G98" s="8" t="s">
        <v>2408</v>
      </c>
      <c r="H98" s="8" t="s">
        <v>2409</v>
      </c>
      <c r="I98" s="8" t="s">
        <v>2411</v>
      </c>
      <c r="J98" s="16" t="s">
        <v>3897</v>
      </c>
      <c r="K98" s="16">
        <v>14134</v>
      </c>
      <c r="L98" s="8" t="s">
        <v>2421</v>
      </c>
      <c r="M98" s="8" t="s">
        <v>2519</v>
      </c>
      <c r="N98" s="8" t="s">
        <v>3372</v>
      </c>
      <c r="O98" s="8" t="s">
        <v>3384</v>
      </c>
      <c r="P98" s="8" t="s">
        <v>3420</v>
      </c>
      <c r="Q98" s="8">
        <v>2326.52</v>
      </c>
      <c r="R98" s="16">
        <v>13</v>
      </c>
      <c r="S98" s="21">
        <v>0.85</v>
      </c>
      <c r="T98" s="16">
        <v>405.37</v>
      </c>
    </row>
    <row r="99" spans="1:20" x14ac:dyDescent="0.3">
      <c r="A99" s="5" t="s">
        <v>117</v>
      </c>
      <c r="B99" s="12">
        <v>43207.321319444447</v>
      </c>
      <c r="C99" s="12">
        <v>43208.321321321317</v>
      </c>
      <c r="D99" s="6" t="s">
        <v>1023</v>
      </c>
      <c r="E99" s="6" t="s">
        <v>1121</v>
      </c>
      <c r="F99" s="6" t="s">
        <v>2056</v>
      </c>
      <c r="G99" s="6" t="s">
        <v>2406</v>
      </c>
      <c r="H99" s="6" t="s">
        <v>2409</v>
      </c>
      <c r="I99" s="6" t="s">
        <v>2417</v>
      </c>
      <c r="J99" s="15" t="s">
        <v>2410</v>
      </c>
      <c r="K99" s="15">
        <v>96440</v>
      </c>
      <c r="L99" s="6" t="s">
        <v>2419</v>
      </c>
      <c r="M99" s="6" t="s">
        <v>2520</v>
      </c>
      <c r="N99" s="6" t="s">
        <v>3373</v>
      </c>
      <c r="O99" s="6" t="s">
        <v>3380</v>
      </c>
      <c r="P99" s="6" t="s">
        <v>3475</v>
      </c>
      <c r="Q99" s="6">
        <v>193.11</v>
      </c>
      <c r="R99" s="15">
        <v>13</v>
      </c>
      <c r="S99" s="20">
        <v>0.87</v>
      </c>
      <c r="T99" s="15">
        <v>64.010000000000005</v>
      </c>
    </row>
    <row r="100" spans="1:20" x14ac:dyDescent="0.3">
      <c r="A100" s="7" t="s">
        <v>118</v>
      </c>
      <c r="B100" s="13">
        <v>43208.41741898148</v>
      </c>
      <c r="C100" s="13">
        <v>43212.417417417397</v>
      </c>
      <c r="D100" s="8" t="s">
        <v>1022</v>
      </c>
      <c r="E100" s="8" t="s">
        <v>1122</v>
      </c>
      <c r="F100" s="8" t="s">
        <v>2057</v>
      </c>
      <c r="G100" s="8" t="s">
        <v>2408</v>
      </c>
      <c r="H100" s="8" t="s">
        <v>2409</v>
      </c>
      <c r="I100" s="8" t="s">
        <v>2417</v>
      </c>
      <c r="J100" s="16" t="s">
        <v>3891</v>
      </c>
      <c r="K100" s="16">
        <v>78651</v>
      </c>
      <c r="L100" s="8" t="s">
        <v>2420</v>
      </c>
      <c r="M100" s="8" t="s">
        <v>2521</v>
      </c>
      <c r="N100" s="8" t="s">
        <v>3373</v>
      </c>
      <c r="O100" s="8" t="s">
        <v>3379</v>
      </c>
      <c r="P100" s="8" t="s">
        <v>3404</v>
      </c>
      <c r="Q100" s="8">
        <v>4245.3599999999997</v>
      </c>
      <c r="R100" s="16">
        <v>8</v>
      </c>
      <c r="S100" s="21">
        <v>0.08</v>
      </c>
      <c r="T100" s="16">
        <v>-609.9</v>
      </c>
    </row>
    <row r="101" spans="1:20" x14ac:dyDescent="0.3">
      <c r="A101" s="5" t="s">
        <v>119</v>
      </c>
      <c r="B101" s="12">
        <v>43209.513518518521</v>
      </c>
      <c r="C101" s="12">
        <v>43213.513513513513</v>
      </c>
      <c r="D101" s="6" t="s">
        <v>1020</v>
      </c>
      <c r="E101" s="6" t="s">
        <v>1123</v>
      </c>
      <c r="F101" s="6" t="s">
        <v>2058</v>
      </c>
      <c r="G101" s="6" t="s">
        <v>2406</v>
      </c>
      <c r="H101" s="6" t="s">
        <v>2409</v>
      </c>
      <c r="I101" s="6" t="s">
        <v>2418</v>
      </c>
      <c r="J101" s="15" t="s">
        <v>2410</v>
      </c>
      <c r="K101" s="15">
        <v>34759</v>
      </c>
      <c r="L101" s="6" t="s">
        <v>2422</v>
      </c>
      <c r="M101" s="6" t="s">
        <v>2522</v>
      </c>
      <c r="N101" s="6" t="s">
        <v>3372</v>
      </c>
      <c r="O101" s="6" t="s">
        <v>3378</v>
      </c>
      <c r="P101" s="6" t="s">
        <v>3387</v>
      </c>
      <c r="Q101" s="6">
        <v>3111.33</v>
      </c>
      <c r="R101" s="15">
        <v>14</v>
      </c>
      <c r="S101" s="20">
        <v>0.27</v>
      </c>
      <c r="T101" s="15">
        <v>815.72</v>
      </c>
    </row>
    <row r="102" spans="1:20" x14ac:dyDescent="0.3">
      <c r="A102" s="7" t="s">
        <v>120</v>
      </c>
      <c r="B102" s="13">
        <v>43210.609606481485</v>
      </c>
      <c r="C102" s="13">
        <v>43216.609609609608</v>
      </c>
      <c r="D102" s="8" t="s">
        <v>1020</v>
      </c>
      <c r="E102" s="8" t="s">
        <v>1124</v>
      </c>
      <c r="F102" s="8" t="s">
        <v>1981</v>
      </c>
      <c r="G102" s="8" t="s">
        <v>2406</v>
      </c>
      <c r="H102" s="8" t="s">
        <v>2409</v>
      </c>
      <c r="I102" s="8" t="s">
        <v>2412</v>
      </c>
      <c r="J102" s="16" t="s">
        <v>3893</v>
      </c>
      <c r="K102" s="16">
        <v>84036</v>
      </c>
      <c r="L102" s="8" t="s">
        <v>2420</v>
      </c>
      <c r="M102" s="8" t="s">
        <v>2523</v>
      </c>
      <c r="N102" s="8" t="s">
        <v>3371</v>
      </c>
      <c r="O102" s="8" t="s">
        <v>3382</v>
      </c>
      <c r="P102" s="8" t="s">
        <v>3476</v>
      </c>
      <c r="Q102" s="8">
        <v>4209.8100000000004</v>
      </c>
      <c r="R102" s="16">
        <v>7</v>
      </c>
      <c r="S102" s="21">
        <v>0.69</v>
      </c>
      <c r="T102" s="16">
        <v>1907.7</v>
      </c>
    </row>
    <row r="103" spans="1:20" x14ac:dyDescent="0.3">
      <c r="A103" s="5" t="s">
        <v>121</v>
      </c>
      <c r="B103" s="12">
        <v>43211.705706018518</v>
      </c>
      <c r="C103" s="12">
        <v>43216.705705705703</v>
      </c>
      <c r="D103" s="6" t="s">
        <v>1021</v>
      </c>
      <c r="E103" s="6" t="s">
        <v>1125</v>
      </c>
      <c r="F103" s="6" t="s">
        <v>2059</v>
      </c>
      <c r="G103" s="6" t="s">
        <v>2408</v>
      </c>
      <c r="H103" s="6" t="s">
        <v>2409</v>
      </c>
      <c r="I103" s="6" t="s">
        <v>2411</v>
      </c>
      <c r="J103" s="15" t="s">
        <v>3892</v>
      </c>
      <c r="K103" s="15">
        <v>50437</v>
      </c>
      <c r="L103" s="6" t="s">
        <v>2421</v>
      </c>
      <c r="M103" s="6" t="s">
        <v>2524</v>
      </c>
      <c r="N103" s="6" t="s">
        <v>3373</v>
      </c>
      <c r="O103" s="6" t="s">
        <v>3385</v>
      </c>
      <c r="P103" s="6" t="s">
        <v>3477</v>
      </c>
      <c r="Q103" s="6">
        <v>4859.96</v>
      </c>
      <c r="R103" s="15">
        <v>13</v>
      </c>
      <c r="S103" s="20">
        <v>0.18</v>
      </c>
      <c r="T103" s="15">
        <v>-893.02</v>
      </c>
    </row>
    <row r="104" spans="1:20" x14ac:dyDescent="0.3">
      <c r="A104" s="7" t="s">
        <v>122</v>
      </c>
      <c r="B104" s="13">
        <v>43212.801805555559</v>
      </c>
      <c r="C104" s="13">
        <v>43213.801801801797</v>
      </c>
      <c r="D104" s="8" t="s">
        <v>1023</v>
      </c>
      <c r="E104" s="8" t="s">
        <v>1126</v>
      </c>
      <c r="F104" s="8" t="s">
        <v>2060</v>
      </c>
      <c r="G104" s="8" t="s">
        <v>2408</v>
      </c>
      <c r="H104" s="8" t="s">
        <v>2409</v>
      </c>
      <c r="I104" s="8" t="s">
        <v>2417</v>
      </c>
      <c r="J104" s="16" t="s">
        <v>3895</v>
      </c>
      <c r="K104" s="16">
        <v>19645</v>
      </c>
      <c r="L104" s="8" t="s">
        <v>2421</v>
      </c>
      <c r="M104" s="8" t="s">
        <v>2496</v>
      </c>
      <c r="N104" s="8" t="s">
        <v>3373</v>
      </c>
      <c r="O104" s="8" t="s">
        <v>3385</v>
      </c>
      <c r="P104" s="8" t="s">
        <v>3477</v>
      </c>
      <c r="Q104" s="8">
        <v>4040.51</v>
      </c>
      <c r="R104" s="16">
        <v>11</v>
      </c>
      <c r="S104" s="21">
        <v>0.21</v>
      </c>
      <c r="T104" s="16">
        <v>-139.19</v>
      </c>
    </row>
    <row r="105" spans="1:20" x14ac:dyDescent="0.3">
      <c r="A105" s="5" t="s">
        <v>123</v>
      </c>
      <c r="B105" s="12">
        <v>43213.897893518515</v>
      </c>
      <c r="C105" s="12">
        <v>43214.897897897892</v>
      </c>
      <c r="D105" s="6" t="s">
        <v>1021</v>
      </c>
      <c r="E105" s="6" t="s">
        <v>1127</v>
      </c>
      <c r="F105" s="6" t="s">
        <v>2061</v>
      </c>
      <c r="G105" s="6" t="s">
        <v>2408</v>
      </c>
      <c r="H105" s="6" t="s">
        <v>2409</v>
      </c>
      <c r="I105" s="6" t="s">
        <v>2414</v>
      </c>
      <c r="J105" s="15" t="s">
        <v>3897</v>
      </c>
      <c r="K105" s="15">
        <v>54556</v>
      </c>
      <c r="L105" s="6" t="s">
        <v>2421</v>
      </c>
      <c r="M105" s="6" t="s">
        <v>2525</v>
      </c>
      <c r="N105" s="6" t="s">
        <v>3371</v>
      </c>
      <c r="O105" s="6" t="s">
        <v>3382</v>
      </c>
      <c r="P105" s="6" t="s">
        <v>3478</v>
      </c>
      <c r="Q105" s="6">
        <v>3133.55</v>
      </c>
      <c r="R105" s="15">
        <v>7</v>
      </c>
      <c r="S105" s="20">
        <v>0.31</v>
      </c>
      <c r="T105" s="15">
        <v>41.79</v>
      </c>
    </row>
    <row r="106" spans="1:20" x14ac:dyDescent="0.3">
      <c r="A106" s="7" t="s">
        <v>124</v>
      </c>
      <c r="B106" s="13">
        <v>43214.993993055556</v>
      </c>
      <c r="C106" s="13">
        <v>43215.993993993987</v>
      </c>
      <c r="D106" s="8" t="s">
        <v>1023</v>
      </c>
      <c r="E106" s="8" t="s">
        <v>1128</v>
      </c>
      <c r="F106" s="8" t="s">
        <v>2062</v>
      </c>
      <c r="G106" s="8" t="s">
        <v>2407</v>
      </c>
      <c r="H106" s="8" t="s">
        <v>2409</v>
      </c>
      <c r="I106" s="8" t="s">
        <v>2413</v>
      </c>
      <c r="J106" s="16" t="s">
        <v>2410</v>
      </c>
      <c r="K106" s="16">
        <v>94368</v>
      </c>
      <c r="L106" s="8" t="s">
        <v>2420</v>
      </c>
      <c r="M106" s="8" t="s">
        <v>2526</v>
      </c>
      <c r="N106" s="8" t="s">
        <v>3371</v>
      </c>
      <c r="O106" s="8" t="s">
        <v>3383</v>
      </c>
      <c r="P106" s="8" t="s">
        <v>3479</v>
      </c>
      <c r="Q106" s="8">
        <v>488.87</v>
      </c>
      <c r="R106" s="16">
        <v>1</v>
      </c>
      <c r="S106" s="21">
        <v>0.32</v>
      </c>
      <c r="T106" s="16">
        <v>205.63</v>
      </c>
    </row>
    <row r="107" spans="1:20" x14ac:dyDescent="0.3">
      <c r="A107" s="5" t="s">
        <v>125</v>
      </c>
      <c r="B107" s="12">
        <v>43216.090092592596</v>
      </c>
      <c r="C107" s="12">
        <v>43220.090090090082</v>
      </c>
      <c r="D107" s="6" t="s">
        <v>1023</v>
      </c>
      <c r="E107" s="6" t="s">
        <v>1129</v>
      </c>
      <c r="F107" s="6" t="s">
        <v>2063</v>
      </c>
      <c r="G107" s="6" t="s">
        <v>2406</v>
      </c>
      <c r="H107" s="6" t="s">
        <v>2409</v>
      </c>
      <c r="I107" s="6" t="s">
        <v>2413</v>
      </c>
      <c r="J107" s="15" t="s">
        <v>3891</v>
      </c>
      <c r="K107" s="15">
        <v>46408</v>
      </c>
      <c r="L107" s="6" t="s">
        <v>2419</v>
      </c>
      <c r="M107" s="6" t="s">
        <v>2527</v>
      </c>
      <c r="N107" s="6" t="s">
        <v>3371</v>
      </c>
      <c r="O107" s="6" t="s">
        <v>3382</v>
      </c>
      <c r="P107" s="6" t="s">
        <v>3480</v>
      </c>
      <c r="Q107" s="6">
        <v>3169.44</v>
      </c>
      <c r="R107" s="15">
        <v>9</v>
      </c>
      <c r="S107" s="20">
        <v>0</v>
      </c>
      <c r="T107" s="15">
        <v>-602.16999999999996</v>
      </c>
    </row>
    <row r="108" spans="1:20" x14ac:dyDescent="0.3">
      <c r="A108" s="7" t="s">
        <v>126</v>
      </c>
      <c r="B108" s="13">
        <v>43217.186180555553</v>
      </c>
      <c r="C108" s="13">
        <v>43219.186186186183</v>
      </c>
      <c r="D108" s="8" t="s">
        <v>1020</v>
      </c>
      <c r="E108" s="8" t="s">
        <v>1130</v>
      </c>
      <c r="F108" s="8" t="s">
        <v>2064</v>
      </c>
      <c r="G108" s="8" t="s">
        <v>2407</v>
      </c>
      <c r="H108" s="8" t="s">
        <v>2409</v>
      </c>
      <c r="I108" s="8" t="s">
        <v>2410</v>
      </c>
      <c r="J108" s="16" t="s">
        <v>3895</v>
      </c>
      <c r="K108" s="16">
        <v>95477</v>
      </c>
      <c r="L108" s="8" t="s">
        <v>2422</v>
      </c>
      <c r="M108" s="8" t="s">
        <v>2528</v>
      </c>
      <c r="N108" s="8" t="s">
        <v>3373</v>
      </c>
      <c r="O108" s="8" t="s">
        <v>3380</v>
      </c>
      <c r="P108" s="8" t="s">
        <v>3481</v>
      </c>
      <c r="Q108" s="8">
        <v>1319.42</v>
      </c>
      <c r="R108" s="16">
        <v>4</v>
      </c>
      <c r="S108" s="21">
        <v>0.74</v>
      </c>
      <c r="T108" s="16">
        <v>666.84</v>
      </c>
    </row>
    <row r="109" spans="1:20" x14ac:dyDescent="0.3">
      <c r="A109" s="5" t="s">
        <v>127</v>
      </c>
      <c r="B109" s="12">
        <v>43218.282280092593</v>
      </c>
      <c r="C109" s="12">
        <v>43223.282282282278</v>
      </c>
      <c r="D109" s="6" t="s">
        <v>1020</v>
      </c>
      <c r="E109" s="6" t="s">
        <v>1131</v>
      </c>
      <c r="F109" s="6" t="s">
        <v>2037</v>
      </c>
      <c r="G109" s="6" t="s">
        <v>2408</v>
      </c>
      <c r="H109" s="6" t="s">
        <v>2409</v>
      </c>
      <c r="I109" s="6" t="s">
        <v>2414</v>
      </c>
      <c r="J109" s="15" t="s">
        <v>3897</v>
      </c>
      <c r="K109" s="15">
        <v>73831</v>
      </c>
      <c r="L109" s="6" t="s">
        <v>2422</v>
      </c>
      <c r="M109" s="6" t="s">
        <v>2529</v>
      </c>
      <c r="N109" s="6" t="s">
        <v>3371</v>
      </c>
      <c r="O109" s="6" t="s">
        <v>3375</v>
      </c>
      <c r="P109" s="6" t="s">
        <v>3482</v>
      </c>
      <c r="Q109" s="6">
        <v>2684.9</v>
      </c>
      <c r="R109" s="15">
        <v>8</v>
      </c>
      <c r="S109" s="20">
        <v>0.45</v>
      </c>
      <c r="T109" s="15">
        <v>490.45</v>
      </c>
    </row>
    <row r="110" spans="1:20" x14ac:dyDescent="0.3">
      <c r="A110" s="7" t="s">
        <v>128</v>
      </c>
      <c r="B110" s="13">
        <v>43219.378379629627</v>
      </c>
      <c r="C110" s="13">
        <v>43220.378378378373</v>
      </c>
      <c r="D110" s="8" t="s">
        <v>1021</v>
      </c>
      <c r="E110" s="8" t="s">
        <v>1132</v>
      </c>
      <c r="F110" s="8" t="s">
        <v>2065</v>
      </c>
      <c r="G110" s="8" t="s">
        <v>2406</v>
      </c>
      <c r="H110" s="8" t="s">
        <v>2409</v>
      </c>
      <c r="I110" s="8" t="s">
        <v>2416</v>
      </c>
      <c r="J110" s="16" t="s">
        <v>3891</v>
      </c>
      <c r="K110" s="16">
        <v>50990</v>
      </c>
      <c r="L110" s="8" t="s">
        <v>2419</v>
      </c>
      <c r="M110" s="8" t="s">
        <v>2530</v>
      </c>
      <c r="N110" s="8" t="s">
        <v>3372</v>
      </c>
      <c r="O110" s="8" t="s">
        <v>3377</v>
      </c>
      <c r="P110" s="8" t="s">
        <v>3483</v>
      </c>
      <c r="Q110" s="8">
        <v>779.57</v>
      </c>
      <c r="R110" s="16">
        <v>13</v>
      </c>
      <c r="S110" s="21">
        <v>0.18</v>
      </c>
      <c r="T110" s="16">
        <v>130.02000000000001</v>
      </c>
    </row>
    <row r="111" spans="1:20" x14ac:dyDescent="0.3">
      <c r="A111" s="5" t="s">
        <v>129</v>
      </c>
      <c r="B111" s="12">
        <v>43220.474479166667</v>
      </c>
      <c r="C111" s="12">
        <v>43221.474474474468</v>
      </c>
      <c r="D111" s="6" t="s">
        <v>1020</v>
      </c>
      <c r="E111" s="6" t="s">
        <v>1133</v>
      </c>
      <c r="F111" s="6" t="s">
        <v>2066</v>
      </c>
      <c r="G111" s="6" t="s">
        <v>2406</v>
      </c>
      <c r="H111" s="6" t="s">
        <v>2409</v>
      </c>
      <c r="I111" s="6" t="s">
        <v>2413</v>
      </c>
      <c r="J111" s="15" t="s">
        <v>3897</v>
      </c>
      <c r="K111" s="15">
        <v>94161</v>
      </c>
      <c r="L111" s="6" t="s">
        <v>2420</v>
      </c>
      <c r="M111" s="6" t="s">
        <v>2531</v>
      </c>
      <c r="N111" s="6" t="s">
        <v>3372</v>
      </c>
      <c r="O111" s="6" t="s">
        <v>3377</v>
      </c>
      <c r="P111" s="6" t="s">
        <v>3484</v>
      </c>
      <c r="Q111" s="6">
        <v>1124.2</v>
      </c>
      <c r="R111" s="15">
        <v>7</v>
      </c>
      <c r="S111" s="20">
        <v>0.28999999999999998</v>
      </c>
      <c r="T111" s="15">
        <v>356.82</v>
      </c>
    </row>
    <row r="112" spans="1:20" x14ac:dyDescent="0.3">
      <c r="A112" s="7" t="s">
        <v>130</v>
      </c>
      <c r="B112" s="13">
        <v>43221.570567129631</v>
      </c>
      <c r="C112" s="13">
        <v>43227.57057057057</v>
      </c>
      <c r="D112" s="8" t="s">
        <v>1020</v>
      </c>
      <c r="E112" s="8" t="s">
        <v>1134</v>
      </c>
      <c r="F112" s="8" t="s">
        <v>2067</v>
      </c>
      <c r="G112" s="8" t="s">
        <v>2407</v>
      </c>
      <c r="H112" s="8" t="s">
        <v>2409</v>
      </c>
      <c r="I112" s="8" t="s">
        <v>2413</v>
      </c>
      <c r="J112" s="16" t="s">
        <v>3895</v>
      </c>
      <c r="K112" s="16">
        <v>11570</v>
      </c>
      <c r="L112" s="8" t="s">
        <v>2419</v>
      </c>
      <c r="M112" s="8" t="s">
        <v>2532</v>
      </c>
      <c r="N112" s="8" t="s">
        <v>3373</v>
      </c>
      <c r="O112" s="8" t="s">
        <v>3381</v>
      </c>
      <c r="P112" s="8" t="s">
        <v>3485</v>
      </c>
      <c r="Q112" s="8">
        <v>3947.5</v>
      </c>
      <c r="R112" s="16">
        <v>7</v>
      </c>
      <c r="S112" s="21">
        <v>0.8</v>
      </c>
      <c r="T112" s="16">
        <v>1108.4100000000001</v>
      </c>
    </row>
    <row r="113" spans="1:20" x14ac:dyDescent="0.3">
      <c r="A113" s="5" t="s">
        <v>131</v>
      </c>
      <c r="B113" s="12">
        <v>43222.666666666664</v>
      </c>
      <c r="C113" s="12">
        <v>43224.666666666657</v>
      </c>
      <c r="D113" s="6" t="s">
        <v>1021</v>
      </c>
      <c r="E113" s="6" t="s">
        <v>1135</v>
      </c>
      <c r="F113" s="6" t="s">
        <v>2068</v>
      </c>
      <c r="G113" s="6" t="s">
        <v>2407</v>
      </c>
      <c r="H113" s="6" t="s">
        <v>2409</v>
      </c>
      <c r="I113" s="6" t="s">
        <v>2416</v>
      </c>
      <c r="J113" s="15" t="s">
        <v>3892</v>
      </c>
      <c r="K113" s="15">
        <v>91454</v>
      </c>
      <c r="L113" s="6" t="s">
        <v>2422</v>
      </c>
      <c r="M113" s="6" t="s">
        <v>2533</v>
      </c>
      <c r="N113" s="6" t="s">
        <v>3373</v>
      </c>
      <c r="O113" s="6" t="s">
        <v>3380</v>
      </c>
      <c r="P113" s="6" t="s">
        <v>3407</v>
      </c>
      <c r="Q113" s="6">
        <v>3920.1</v>
      </c>
      <c r="R113" s="15">
        <v>7</v>
      </c>
      <c r="S113" s="20">
        <v>0.41</v>
      </c>
      <c r="T113" s="15">
        <v>507.25</v>
      </c>
    </row>
    <row r="114" spans="1:20" x14ac:dyDescent="0.3">
      <c r="A114" s="7" t="s">
        <v>132</v>
      </c>
      <c r="B114" s="13">
        <v>43223.762766203705</v>
      </c>
      <c r="C114" s="13">
        <v>43225.762762762752</v>
      </c>
      <c r="D114" s="8" t="s">
        <v>1023</v>
      </c>
      <c r="E114" s="8" t="s">
        <v>1136</v>
      </c>
      <c r="F114" s="8" t="s">
        <v>2008</v>
      </c>
      <c r="G114" s="8" t="s">
        <v>2406</v>
      </c>
      <c r="H114" s="8" t="s">
        <v>2409</v>
      </c>
      <c r="I114" s="8" t="s">
        <v>2416</v>
      </c>
      <c r="J114" s="16" t="s">
        <v>3894</v>
      </c>
      <c r="K114" s="16">
        <v>91402</v>
      </c>
      <c r="L114" s="8" t="s">
        <v>2420</v>
      </c>
      <c r="M114" s="8" t="s">
        <v>2534</v>
      </c>
      <c r="N114" s="8" t="s">
        <v>3373</v>
      </c>
      <c r="O114" s="8" t="s">
        <v>3380</v>
      </c>
      <c r="P114" s="8" t="s">
        <v>3486</v>
      </c>
      <c r="Q114" s="8">
        <v>4223.6400000000003</v>
      </c>
      <c r="R114" s="16">
        <v>1</v>
      </c>
      <c r="S114" s="21">
        <v>0.65</v>
      </c>
      <c r="T114" s="16">
        <v>-753.69</v>
      </c>
    </row>
    <row r="115" spans="1:20" x14ac:dyDescent="0.3">
      <c r="A115" s="5" t="s">
        <v>133</v>
      </c>
      <c r="B115" s="12">
        <v>43224.858854166669</v>
      </c>
      <c r="C115" s="12">
        <v>43230.858858858854</v>
      </c>
      <c r="D115" s="6" t="s">
        <v>1021</v>
      </c>
      <c r="E115" s="6" t="s">
        <v>1137</v>
      </c>
      <c r="F115" s="6" t="s">
        <v>2069</v>
      </c>
      <c r="G115" s="6" t="s">
        <v>2406</v>
      </c>
      <c r="H115" s="6" t="s">
        <v>2409</v>
      </c>
      <c r="I115" s="6" t="s">
        <v>2418</v>
      </c>
      <c r="J115" s="15" t="s">
        <v>2410</v>
      </c>
      <c r="K115" s="15">
        <v>47876</v>
      </c>
      <c r="L115" s="6" t="s">
        <v>2419</v>
      </c>
      <c r="M115" s="6" t="s">
        <v>2535</v>
      </c>
      <c r="N115" s="6" t="s">
        <v>3372</v>
      </c>
      <c r="O115" s="6" t="s">
        <v>3376</v>
      </c>
      <c r="P115" s="6" t="s">
        <v>3405</v>
      </c>
      <c r="Q115" s="6">
        <v>1262.53</v>
      </c>
      <c r="R115" s="15">
        <v>13</v>
      </c>
      <c r="S115" s="20">
        <v>0.31</v>
      </c>
      <c r="T115" s="15">
        <v>37.78</v>
      </c>
    </row>
    <row r="116" spans="1:20" x14ac:dyDescent="0.3">
      <c r="A116" s="7" t="s">
        <v>134</v>
      </c>
      <c r="B116" s="13">
        <v>43225.954953703702</v>
      </c>
      <c r="C116" s="13">
        <v>43226.954954954963</v>
      </c>
      <c r="D116" s="8" t="s">
        <v>1022</v>
      </c>
      <c r="E116" s="8" t="s">
        <v>1138</v>
      </c>
      <c r="F116" s="8" t="s">
        <v>2070</v>
      </c>
      <c r="G116" s="8" t="s">
        <v>2408</v>
      </c>
      <c r="H116" s="8" t="s">
        <v>2409</v>
      </c>
      <c r="I116" s="8" t="s">
        <v>2414</v>
      </c>
      <c r="J116" s="16" t="s">
        <v>3897</v>
      </c>
      <c r="K116" s="16">
        <v>60015</v>
      </c>
      <c r="L116" s="8" t="s">
        <v>2419</v>
      </c>
      <c r="M116" s="8" t="s">
        <v>2536</v>
      </c>
      <c r="N116" s="8" t="s">
        <v>3371</v>
      </c>
      <c r="O116" s="8" t="s">
        <v>3375</v>
      </c>
      <c r="P116" s="8" t="s">
        <v>3487</v>
      </c>
      <c r="Q116" s="8">
        <v>2127.06</v>
      </c>
      <c r="R116" s="16">
        <v>11</v>
      </c>
      <c r="S116" s="21">
        <v>0.41</v>
      </c>
      <c r="T116" s="16">
        <v>-223.25</v>
      </c>
    </row>
    <row r="117" spans="1:20" x14ac:dyDescent="0.3">
      <c r="A117" s="5" t="s">
        <v>135</v>
      </c>
      <c r="B117" s="12">
        <v>43227.051053240742</v>
      </c>
      <c r="C117" s="12">
        <v>43233.051051051043</v>
      </c>
      <c r="D117" s="6" t="s">
        <v>1021</v>
      </c>
      <c r="E117" s="6" t="s">
        <v>1139</v>
      </c>
      <c r="F117" s="6" t="s">
        <v>2071</v>
      </c>
      <c r="G117" s="6" t="s">
        <v>2407</v>
      </c>
      <c r="H117" s="6" t="s">
        <v>2409</v>
      </c>
      <c r="I117" s="6" t="s">
        <v>2417</v>
      </c>
      <c r="J117" s="15" t="s">
        <v>2410</v>
      </c>
      <c r="K117" s="15">
        <v>76201</v>
      </c>
      <c r="L117" s="6" t="s">
        <v>2421</v>
      </c>
      <c r="M117" s="6" t="s">
        <v>2537</v>
      </c>
      <c r="N117" s="6" t="s">
        <v>3372</v>
      </c>
      <c r="O117" s="6" t="s">
        <v>3376</v>
      </c>
      <c r="P117" s="6" t="s">
        <v>3488</v>
      </c>
      <c r="Q117" s="6">
        <v>2407.5700000000002</v>
      </c>
      <c r="R117" s="15">
        <v>6</v>
      </c>
      <c r="S117" s="20">
        <v>0.24</v>
      </c>
      <c r="T117" s="15">
        <v>243.34</v>
      </c>
    </row>
    <row r="118" spans="1:20" x14ac:dyDescent="0.3">
      <c r="A118" s="7" t="s">
        <v>136</v>
      </c>
      <c r="B118" s="13">
        <v>43228.147152777776</v>
      </c>
      <c r="C118" s="13">
        <v>43234.147147147138</v>
      </c>
      <c r="D118" s="8" t="s">
        <v>1021</v>
      </c>
      <c r="E118" s="8" t="s">
        <v>1140</v>
      </c>
      <c r="F118" s="8" t="s">
        <v>2072</v>
      </c>
      <c r="G118" s="8" t="s">
        <v>2407</v>
      </c>
      <c r="H118" s="8" t="s">
        <v>2409</v>
      </c>
      <c r="I118" s="8" t="s">
        <v>2415</v>
      </c>
      <c r="J118" s="16" t="s">
        <v>3894</v>
      </c>
      <c r="K118" s="16">
        <v>50815</v>
      </c>
      <c r="L118" s="8" t="s">
        <v>2419</v>
      </c>
      <c r="M118" s="8" t="s">
        <v>2538</v>
      </c>
      <c r="N118" s="8" t="s">
        <v>3372</v>
      </c>
      <c r="O118" s="8" t="s">
        <v>3384</v>
      </c>
      <c r="P118" s="8" t="s">
        <v>3489</v>
      </c>
      <c r="Q118" s="8">
        <v>3562.03</v>
      </c>
      <c r="R118" s="16">
        <v>6</v>
      </c>
      <c r="S118" s="21">
        <v>0.62</v>
      </c>
      <c r="T118" s="16">
        <v>-518.04</v>
      </c>
    </row>
    <row r="119" spans="1:20" x14ac:dyDescent="0.3">
      <c r="A119" s="5" t="s">
        <v>137</v>
      </c>
      <c r="B119" s="12">
        <v>43229.24324074074</v>
      </c>
      <c r="C119" s="12">
        <v>43235.24324324324</v>
      </c>
      <c r="D119" s="6" t="s">
        <v>1023</v>
      </c>
      <c r="E119" s="6" t="s">
        <v>1141</v>
      </c>
      <c r="F119" s="6" t="s">
        <v>2073</v>
      </c>
      <c r="G119" s="6" t="s">
        <v>2406</v>
      </c>
      <c r="H119" s="6" t="s">
        <v>2409</v>
      </c>
      <c r="I119" s="6" t="s">
        <v>2418</v>
      </c>
      <c r="J119" s="15" t="s">
        <v>3892</v>
      </c>
      <c r="K119" s="15">
        <v>74052</v>
      </c>
      <c r="L119" s="6" t="s">
        <v>2419</v>
      </c>
      <c r="M119" s="6" t="s">
        <v>2539</v>
      </c>
      <c r="N119" s="6" t="s">
        <v>3372</v>
      </c>
      <c r="O119" s="6" t="s">
        <v>3384</v>
      </c>
      <c r="P119" s="6" t="s">
        <v>3490</v>
      </c>
      <c r="Q119" s="6">
        <v>923.52</v>
      </c>
      <c r="R119" s="15">
        <v>5</v>
      </c>
      <c r="S119" s="20">
        <v>0.05</v>
      </c>
      <c r="T119" s="15">
        <v>-150.24</v>
      </c>
    </row>
    <row r="120" spans="1:20" x14ac:dyDescent="0.3">
      <c r="A120" s="7" t="s">
        <v>138</v>
      </c>
      <c r="B120" s="13">
        <v>43230.33934027778</v>
      </c>
      <c r="C120" s="13">
        <v>43231.339339339327</v>
      </c>
      <c r="D120" s="8" t="s">
        <v>1020</v>
      </c>
      <c r="E120" s="8" t="s">
        <v>1142</v>
      </c>
      <c r="F120" s="8" t="s">
        <v>2074</v>
      </c>
      <c r="G120" s="8" t="s">
        <v>2407</v>
      </c>
      <c r="H120" s="8" t="s">
        <v>2409</v>
      </c>
      <c r="I120" s="8" t="s">
        <v>2415</v>
      </c>
      <c r="J120" s="16" t="s">
        <v>3891</v>
      </c>
      <c r="K120" s="16">
        <v>44721</v>
      </c>
      <c r="L120" s="8" t="s">
        <v>2421</v>
      </c>
      <c r="M120" s="8" t="s">
        <v>2540</v>
      </c>
      <c r="N120" s="8" t="s">
        <v>3373</v>
      </c>
      <c r="O120" s="8" t="s">
        <v>3380</v>
      </c>
      <c r="P120" s="8" t="s">
        <v>3491</v>
      </c>
      <c r="Q120" s="8">
        <v>2469.36</v>
      </c>
      <c r="R120" s="16">
        <v>6</v>
      </c>
      <c r="S120" s="21">
        <v>0.74</v>
      </c>
      <c r="T120" s="16">
        <v>-101.26</v>
      </c>
    </row>
    <row r="121" spans="1:20" x14ac:dyDescent="0.3">
      <c r="A121" s="5" t="s">
        <v>139</v>
      </c>
      <c r="B121" s="12">
        <v>43231.435439814813</v>
      </c>
      <c r="C121" s="12">
        <v>43233.435435435429</v>
      </c>
      <c r="D121" s="6" t="s">
        <v>1023</v>
      </c>
      <c r="E121" s="6" t="s">
        <v>1143</v>
      </c>
      <c r="F121" s="6" t="s">
        <v>1988</v>
      </c>
      <c r="G121" s="6" t="s">
        <v>2406</v>
      </c>
      <c r="H121" s="6" t="s">
        <v>2409</v>
      </c>
      <c r="I121" s="6" t="s">
        <v>2418</v>
      </c>
      <c r="J121" s="15" t="s">
        <v>3896</v>
      </c>
      <c r="K121" s="15">
        <v>46167</v>
      </c>
      <c r="L121" s="6" t="s">
        <v>2419</v>
      </c>
      <c r="M121" s="6" t="s">
        <v>2541</v>
      </c>
      <c r="N121" s="6" t="s">
        <v>3372</v>
      </c>
      <c r="O121" s="6" t="s">
        <v>3377</v>
      </c>
      <c r="P121" s="6" t="s">
        <v>3492</v>
      </c>
      <c r="Q121" s="6">
        <v>3630.75</v>
      </c>
      <c r="R121" s="15">
        <v>9</v>
      </c>
      <c r="S121" s="20">
        <v>0.71</v>
      </c>
      <c r="T121" s="15">
        <v>1362.53</v>
      </c>
    </row>
    <row r="122" spans="1:20" x14ac:dyDescent="0.3">
      <c r="A122" s="7" t="s">
        <v>140</v>
      </c>
      <c r="B122" s="13">
        <v>43232.531527777777</v>
      </c>
      <c r="C122" s="13">
        <v>43233.531531531531</v>
      </c>
      <c r="D122" s="8" t="s">
        <v>1021</v>
      </c>
      <c r="E122" s="8" t="s">
        <v>1144</v>
      </c>
      <c r="F122" s="8" t="s">
        <v>2075</v>
      </c>
      <c r="G122" s="8" t="s">
        <v>2408</v>
      </c>
      <c r="H122" s="8" t="s">
        <v>2409</v>
      </c>
      <c r="I122" s="8" t="s">
        <v>2417</v>
      </c>
      <c r="J122" s="16" t="s">
        <v>3898</v>
      </c>
      <c r="K122" s="16">
        <v>74621</v>
      </c>
      <c r="L122" s="8" t="s">
        <v>2419</v>
      </c>
      <c r="M122" s="8" t="s">
        <v>2542</v>
      </c>
      <c r="N122" s="8" t="s">
        <v>3371</v>
      </c>
      <c r="O122" s="8" t="s">
        <v>3375</v>
      </c>
      <c r="P122" s="8" t="s">
        <v>3493</v>
      </c>
      <c r="Q122" s="8">
        <v>2128.2399999999998</v>
      </c>
      <c r="R122" s="16">
        <v>1</v>
      </c>
      <c r="S122" s="21">
        <v>0.72</v>
      </c>
      <c r="T122" s="16">
        <v>293.47000000000003</v>
      </c>
    </row>
    <row r="123" spans="1:20" x14ac:dyDescent="0.3">
      <c r="A123" s="5" t="s">
        <v>141</v>
      </c>
      <c r="B123" s="12">
        <v>43233.627627314818</v>
      </c>
      <c r="C123" s="12">
        <v>43235.627627627633</v>
      </c>
      <c r="D123" s="6" t="s">
        <v>1020</v>
      </c>
      <c r="E123" s="6" t="s">
        <v>1145</v>
      </c>
      <c r="F123" s="6" t="s">
        <v>2076</v>
      </c>
      <c r="G123" s="6" t="s">
        <v>2408</v>
      </c>
      <c r="H123" s="6" t="s">
        <v>2409</v>
      </c>
      <c r="I123" s="6" t="s">
        <v>2412</v>
      </c>
      <c r="J123" s="15" t="s">
        <v>3895</v>
      </c>
      <c r="K123" s="15">
        <v>49503</v>
      </c>
      <c r="L123" s="6" t="s">
        <v>2420</v>
      </c>
      <c r="M123" s="6" t="s">
        <v>2543</v>
      </c>
      <c r="N123" s="6" t="s">
        <v>3373</v>
      </c>
      <c r="O123" s="6" t="s">
        <v>3380</v>
      </c>
      <c r="P123" s="6" t="s">
        <v>3494</v>
      </c>
      <c r="Q123" s="6">
        <v>4363.99</v>
      </c>
      <c r="R123" s="15">
        <v>7</v>
      </c>
      <c r="S123" s="20">
        <v>0.76</v>
      </c>
      <c r="T123" s="15">
        <v>1213.43</v>
      </c>
    </row>
    <row r="124" spans="1:20" x14ac:dyDescent="0.3">
      <c r="A124" s="7" t="s">
        <v>142</v>
      </c>
      <c r="B124" s="13">
        <v>43234.723726851851</v>
      </c>
      <c r="C124" s="13">
        <v>43236.723723723713</v>
      </c>
      <c r="D124" s="8" t="s">
        <v>1020</v>
      </c>
      <c r="E124" s="8" t="s">
        <v>1146</v>
      </c>
      <c r="F124" s="8" t="s">
        <v>2077</v>
      </c>
      <c r="G124" s="8" t="s">
        <v>2406</v>
      </c>
      <c r="H124" s="8" t="s">
        <v>2409</v>
      </c>
      <c r="I124" s="8" t="s">
        <v>2416</v>
      </c>
      <c r="J124" s="16" t="s">
        <v>2410</v>
      </c>
      <c r="K124" s="16">
        <v>63557</v>
      </c>
      <c r="L124" s="8" t="s">
        <v>2421</v>
      </c>
      <c r="M124" s="8" t="s">
        <v>2544</v>
      </c>
      <c r="N124" s="8" t="s">
        <v>3373</v>
      </c>
      <c r="O124" s="8" t="s">
        <v>3379</v>
      </c>
      <c r="P124" s="8" t="s">
        <v>3495</v>
      </c>
      <c r="Q124" s="8">
        <v>679.39</v>
      </c>
      <c r="R124" s="16">
        <v>10</v>
      </c>
      <c r="S124" s="21">
        <v>0.56999999999999995</v>
      </c>
      <c r="T124" s="16">
        <v>313.18</v>
      </c>
    </row>
    <row r="125" spans="1:20" x14ac:dyDescent="0.3">
      <c r="A125" s="5" t="s">
        <v>143</v>
      </c>
      <c r="B125" s="12">
        <v>43235.819814814815</v>
      </c>
      <c r="C125" s="12">
        <v>43239.819819819822</v>
      </c>
      <c r="D125" s="6" t="s">
        <v>1023</v>
      </c>
      <c r="E125" s="6" t="s">
        <v>1147</v>
      </c>
      <c r="F125" s="6" t="s">
        <v>2078</v>
      </c>
      <c r="G125" s="6" t="s">
        <v>2407</v>
      </c>
      <c r="H125" s="6" t="s">
        <v>2409</v>
      </c>
      <c r="I125" s="6" t="s">
        <v>2412</v>
      </c>
      <c r="J125" s="15" t="s">
        <v>3892</v>
      </c>
      <c r="K125" s="15">
        <v>14877</v>
      </c>
      <c r="L125" s="6" t="s">
        <v>2419</v>
      </c>
      <c r="M125" s="6" t="s">
        <v>2545</v>
      </c>
      <c r="N125" s="6" t="s">
        <v>3373</v>
      </c>
      <c r="O125" s="6" t="s">
        <v>3381</v>
      </c>
      <c r="P125" s="6" t="s">
        <v>3496</v>
      </c>
      <c r="Q125" s="6">
        <v>3271.71</v>
      </c>
      <c r="R125" s="15">
        <v>13</v>
      </c>
      <c r="S125" s="20">
        <v>0.59</v>
      </c>
      <c r="T125" s="15">
        <v>1380.54</v>
      </c>
    </row>
    <row r="126" spans="1:20" x14ac:dyDescent="0.3">
      <c r="A126" s="7" t="s">
        <v>144</v>
      </c>
      <c r="B126" s="13">
        <v>43236.915914351855</v>
      </c>
      <c r="C126" s="13">
        <v>43239.915915915917</v>
      </c>
      <c r="D126" s="8" t="s">
        <v>1023</v>
      </c>
      <c r="E126" s="8" t="s">
        <v>1148</v>
      </c>
      <c r="F126" s="8" t="s">
        <v>2079</v>
      </c>
      <c r="G126" s="8" t="s">
        <v>2407</v>
      </c>
      <c r="H126" s="8" t="s">
        <v>2409</v>
      </c>
      <c r="I126" s="8" t="s">
        <v>2411</v>
      </c>
      <c r="J126" s="16" t="s">
        <v>2410</v>
      </c>
      <c r="K126" s="16">
        <v>90037</v>
      </c>
      <c r="L126" s="8" t="s">
        <v>2422</v>
      </c>
      <c r="M126" s="8" t="s">
        <v>2546</v>
      </c>
      <c r="N126" s="8" t="s">
        <v>3372</v>
      </c>
      <c r="O126" s="8" t="s">
        <v>3384</v>
      </c>
      <c r="P126" s="8" t="s">
        <v>3497</v>
      </c>
      <c r="Q126" s="8">
        <v>3112.88</v>
      </c>
      <c r="R126" s="16">
        <v>8</v>
      </c>
      <c r="S126" s="21">
        <v>0.53</v>
      </c>
      <c r="T126" s="16">
        <v>97.16</v>
      </c>
    </row>
    <row r="127" spans="1:20" x14ac:dyDescent="0.3">
      <c r="A127" s="5" t="s">
        <v>145</v>
      </c>
      <c r="B127" s="12">
        <v>43238.012013888889</v>
      </c>
      <c r="C127" s="12">
        <v>43239.012012011997</v>
      </c>
      <c r="D127" s="6" t="s">
        <v>1020</v>
      </c>
      <c r="E127" s="6" t="s">
        <v>1149</v>
      </c>
      <c r="F127" s="6" t="s">
        <v>2080</v>
      </c>
      <c r="G127" s="6" t="s">
        <v>2407</v>
      </c>
      <c r="H127" s="6" t="s">
        <v>2409</v>
      </c>
      <c r="I127" s="6" t="s">
        <v>2410</v>
      </c>
      <c r="J127" s="15" t="s">
        <v>3893</v>
      </c>
      <c r="K127" s="15">
        <v>85141</v>
      </c>
      <c r="L127" s="6" t="s">
        <v>2422</v>
      </c>
      <c r="M127" s="6" t="s">
        <v>2547</v>
      </c>
      <c r="N127" s="6" t="s">
        <v>3373</v>
      </c>
      <c r="O127" s="6" t="s">
        <v>3385</v>
      </c>
      <c r="P127" s="6" t="s">
        <v>3498</v>
      </c>
      <c r="Q127" s="6">
        <v>3501.8</v>
      </c>
      <c r="R127" s="15">
        <v>13</v>
      </c>
      <c r="S127" s="20">
        <v>0.19</v>
      </c>
      <c r="T127" s="15">
        <v>-350.68</v>
      </c>
    </row>
    <row r="128" spans="1:20" x14ac:dyDescent="0.3">
      <c r="A128" s="7" t="s">
        <v>146</v>
      </c>
      <c r="B128" s="13">
        <v>43239.108113425929</v>
      </c>
      <c r="C128" s="13">
        <v>43240.108108108099</v>
      </c>
      <c r="D128" s="8" t="s">
        <v>1021</v>
      </c>
      <c r="E128" s="8" t="s">
        <v>1150</v>
      </c>
      <c r="F128" s="8" t="s">
        <v>1974</v>
      </c>
      <c r="G128" s="8" t="s">
        <v>2408</v>
      </c>
      <c r="H128" s="8" t="s">
        <v>2409</v>
      </c>
      <c r="I128" s="8" t="s">
        <v>2410</v>
      </c>
      <c r="J128" s="16" t="s">
        <v>3897</v>
      </c>
      <c r="K128" s="16">
        <v>34728</v>
      </c>
      <c r="L128" s="8" t="s">
        <v>2422</v>
      </c>
      <c r="M128" s="8" t="s">
        <v>2548</v>
      </c>
      <c r="N128" s="8" t="s">
        <v>3371</v>
      </c>
      <c r="O128" s="8" t="s">
        <v>3375</v>
      </c>
      <c r="P128" s="8" t="s">
        <v>3499</v>
      </c>
      <c r="Q128" s="8">
        <v>3129.89</v>
      </c>
      <c r="R128" s="16">
        <v>14</v>
      </c>
      <c r="S128" s="21">
        <v>0.88</v>
      </c>
      <c r="T128" s="16">
        <v>1149.2</v>
      </c>
    </row>
    <row r="129" spans="1:20" x14ac:dyDescent="0.3">
      <c r="A129" s="5" t="s">
        <v>147</v>
      </c>
      <c r="B129" s="12">
        <v>43240.204201388886</v>
      </c>
      <c r="C129" s="12">
        <v>43245.204204204201</v>
      </c>
      <c r="D129" s="6" t="s">
        <v>1021</v>
      </c>
      <c r="E129" s="6" t="s">
        <v>1151</v>
      </c>
      <c r="F129" s="6" t="s">
        <v>2081</v>
      </c>
      <c r="G129" s="6" t="s">
        <v>2408</v>
      </c>
      <c r="H129" s="6" t="s">
        <v>2409</v>
      </c>
      <c r="I129" s="6" t="s">
        <v>2414</v>
      </c>
      <c r="J129" s="15" t="s">
        <v>3894</v>
      </c>
      <c r="K129" s="15">
        <v>73896</v>
      </c>
      <c r="L129" s="6" t="s">
        <v>2419</v>
      </c>
      <c r="M129" s="6" t="s">
        <v>2549</v>
      </c>
      <c r="N129" s="6" t="s">
        <v>3373</v>
      </c>
      <c r="O129" s="6" t="s">
        <v>3385</v>
      </c>
      <c r="P129" s="6" t="s">
        <v>3500</v>
      </c>
      <c r="Q129" s="6">
        <v>166.33</v>
      </c>
      <c r="R129" s="15">
        <v>10</v>
      </c>
      <c r="S129" s="20">
        <v>0.27</v>
      </c>
      <c r="T129" s="15">
        <v>4.1900000000000004</v>
      </c>
    </row>
    <row r="130" spans="1:20" x14ac:dyDescent="0.3">
      <c r="A130" s="7" t="s">
        <v>148</v>
      </c>
      <c r="B130" s="13">
        <v>43241.300300925926</v>
      </c>
      <c r="C130" s="13">
        <v>43245.300300300289</v>
      </c>
      <c r="D130" s="8" t="s">
        <v>1021</v>
      </c>
      <c r="E130" s="8" t="s">
        <v>1152</v>
      </c>
      <c r="F130" s="8" t="s">
        <v>2082</v>
      </c>
      <c r="G130" s="8" t="s">
        <v>2406</v>
      </c>
      <c r="H130" s="8" t="s">
        <v>2409</v>
      </c>
      <c r="I130" s="8" t="s">
        <v>2415</v>
      </c>
      <c r="J130" s="16" t="s">
        <v>3892</v>
      </c>
      <c r="K130" s="16">
        <v>63118</v>
      </c>
      <c r="L130" s="8" t="s">
        <v>2420</v>
      </c>
      <c r="M130" s="8" t="s">
        <v>2550</v>
      </c>
      <c r="N130" s="8" t="s">
        <v>3373</v>
      </c>
      <c r="O130" s="8" t="s">
        <v>3385</v>
      </c>
      <c r="P130" s="8" t="s">
        <v>3501</v>
      </c>
      <c r="Q130" s="8">
        <v>3837.45</v>
      </c>
      <c r="R130" s="16">
        <v>3</v>
      </c>
      <c r="S130" s="21">
        <v>0.3</v>
      </c>
      <c r="T130" s="16">
        <v>1021</v>
      </c>
    </row>
    <row r="131" spans="1:20" x14ac:dyDescent="0.3">
      <c r="A131" s="5" t="s">
        <v>149</v>
      </c>
      <c r="B131" s="12">
        <v>43242.39640046296</v>
      </c>
      <c r="C131" s="12">
        <v>43248.396396396391</v>
      </c>
      <c r="D131" s="6" t="s">
        <v>1023</v>
      </c>
      <c r="E131" s="6" t="s">
        <v>1153</v>
      </c>
      <c r="F131" s="6" t="s">
        <v>2083</v>
      </c>
      <c r="G131" s="6" t="s">
        <v>2406</v>
      </c>
      <c r="H131" s="6" t="s">
        <v>2409</v>
      </c>
      <c r="I131" s="6" t="s">
        <v>2414</v>
      </c>
      <c r="J131" s="15" t="s">
        <v>3894</v>
      </c>
      <c r="K131" s="15">
        <v>44378</v>
      </c>
      <c r="L131" s="6" t="s">
        <v>2421</v>
      </c>
      <c r="M131" s="6" t="s">
        <v>2551</v>
      </c>
      <c r="N131" s="6" t="s">
        <v>3372</v>
      </c>
      <c r="O131" s="6" t="s">
        <v>3376</v>
      </c>
      <c r="P131" s="6" t="s">
        <v>3502</v>
      </c>
      <c r="Q131" s="6">
        <v>3728.99</v>
      </c>
      <c r="R131" s="15">
        <v>7</v>
      </c>
      <c r="S131" s="20">
        <v>0.64</v>
      </c>
      <c r="T131" s="15">
        <v>-515.79999999999995</v>
      </c>
    </row>
    <row r="132" spans="1:20" x14ac:dyDescent="0.3">
      <c r="A132" s="7" t="s">
        <v>150</v>
      </c>
      <c r="B132" s="13">
        <v>43243.492488425924</v>
      </c>
      <c r="C132" s="13">
        <v>43244.492492492493</v>
      </c>
      <c r="D132" s="8" t="s">
        <v>1021</v>
      </c>
      <c r="E132" s="8" t="s">
        <v>1154</v>
      </c>
      <c r="F132" s="8" t="s">
        <v>2084</v>
      </c>
      <c r="G132" s="8" t="s">
        <v>2408</v>
      </c>
      <c r="H132" s="8" t="s">
        <v>2409</v>
      </c>
      <c r="I132" s="8" t="s">
        <v>2413</v>
      </c>
      <c r="J132" s="16" t="s">
        <v>3894</v>
      </c>
      <c r="K132" s="16">
        <v>76814</v>
      </c>
      <c r="L132" s="8" t="s">
        <v>2420</v>
      </c>
      <c r="M132" s="8" t="s">
        <v>2552</v>
      </c>
      <c r="N132" s="8" t="s">
        <v>3373</v>
      </c>
      <c r="O132" s="8" t="s">
        <v>3385</v>
      </c>
      <c r="P132" s="8" t="s">
        <v>3391</v>
      </c>
      <c r="Q132" s="8">
        <v>4567.12</v>
      </c>
      <c r="R132" s="16">
        <v>12</v>
      </c>
      <c r="S132" s="21">
        <v>0.26</v>
      </c>
      <c r="T132" s="16">
        <v>896.22</v>
      </c>
    </row>
    <row r="133" spans="1:20" x14ac:dyDescent="0.3">
      <c r="A133" s="5" t="s">
        <v>151</v>
      </c>
      <c r="B133" s="12">
        <v>43244.588587962964</v>
      </c>
      <c r="C133" s="12">
        <v>43246.588588588587</v>
      </c>
      <c r="D133" s="6" t="s">
        <v>1023</v>
      </c>
      <c r="E133" s="6" t="s">
        <v>1155</v>
      </c>
      <c r="F133" s="6" t="s">
        <v>2085</v>
      </c>
      <c r="G133" s="6" t="s">
        <v>2407</v>
      </c>
      <c r="H133" s="6" t="s">
        <v>2409</v>
      </c>
      <c r="I133" s="6" t="s">
        <v>2411</v>
      </c>
      <c r="J133" s="15" t="s">
        <v>3895</v>
      </c>
      <c r="K133" s="15">
        <v>70658</v>
      </c>
      <c r="L133" s="6" t="s">
        <v>2421</v>
      </c>
      <c r="M133" s="6" t="s">
        <v>2553</v>
      </c>
      <c r="N133" s="6" t="s">
        <v>3373</v>
      </c>
      <c r="O133" s="6" t="s">
        <v>3385</v>
      </c>
      <c r="P133" s="6" t="s">
        <v>3487</v>
      </c>
      <c r="Q133" s="6">
        <v>3213.23</v>
      </c>
      <c r="R133" s="15">
        <v>3</v>
      </c>
      <c r="S133" s="20">
        <v>0.25</v>
      </c>
      <c r="T133" s="15">
        <v>1645.35</v>
      </c>
    </row>
    <row r="134" spans="1:20" x14ac:dyDescent="0.3">
      <c r="A134" s="7" t="s">
        <v>152</v>
      </c>
      <c r="B134" s="13">
        <v>43245.684687499997</v>
      </c>
      <c r="C134" s="13">
        <v>43248.684684684667</v>
      </c>
      <c r="D134" s="8" t="s">
        <v>1022</v>
      </c>
      <c r="E134" s="8" t="s">
        <v>1156</v>
      </c>
      <c r="F134" s="8" t="s">
        <v>2086</v>
      </c>
      <c r="G134" s="8" t="s">
        <v>2407</v>
      </c>
      <c r="H134" s="8" t="s">
        <v>2409</v>
      </c>
      <c r="I134" s="8" t="s">
        <v>2412</v>
      </c>
      <c r="J134" s="16" t="s">
        <v>3894</v>
      </c>
      <c r="K134" s="16">
        <v>17699</v>
      </c>
      <c r="L134" s="8" t="s">
        <v>2420</v>
      </c>
      <c r="M134" s="8" t="s">
        <v>2554</v>
      </c>
      <c r="N134" s="8" t="s">
        <v>3371</v>
      </c>
      <c r="O134" s="8" t="s">
        <v>3382</v>
      </c>
      <c r="P134" s="8" t="s">
        <v>3503</v>
      </c>
      <c r="Q134" s="8">
        <v>619.02</v>
      </c>
      <c r="R134" s="16">
        <v>10</v>
      </c>
      <c r="S134" s="21">
        <v>0.63</v>
      </c>
      <c r="T134" s="16">
        <v>31.18</v>
      </c>
    </row>
    <row r="135" spans="1:20" x14ac:dyDescent="0.3">
      <c r="A135" s="5" t="s">
        <v>153</v>
      </c>
      <c r="B135" s="12">
        <v>43246.780775462961</v>
      </c>
      <c r="C135" s="12">
        <v>43251.780780780777</v>
      </c>
      <c r="D135" s="6" t="s">
        <v>1020</v>
      </c>
      <c r="E135" s="6" t="s">
        <v>1157</v>
      </c>
      <c r="F135" s="6" t="s">
        <v>2018</v>
      </c>
      <c r="G135" s="6" t="s">
        <v>2407</v>
      </c>
      <c r="H135" s="6" t="s">
        <v>2409</v>
      </c>
      <c r="I135" s="6" t="s">
        <v>2413</v>
      </c>
      <c r="J135" s="15" t="s">
        <v>2410</v>
      </c>
      <c r="K135" s="15">
        <v>44669</v>
      </c>
      <c r="L135" s="6" t="s">
        <v>2419</v>
      </c>
      <c r="M135" s="6" t="s">
        <v>2555</v>
      </c>
      <c r="N135" s="6" t="s">
        <v>3371</v>
      </c>
      <c r="O135" s="6" t="s">
        <v>3375</v>
      </c>
      <c r="P135" s="6" t="s">
        <v>3504</v>
      </c>
      <c r="Q135" s="6">
        <v>136.47</v>
      </c>
      <c r="R135" s="15">
        <v>13</v>
      </c>
      <c r="S135" s="20">
        <v>0.54</v>
      </c>
      <c r="T135" s="15">
        <v>8.06</v>
      </c>
    </row>
    <row r="136" spans="1:20" x14ac:dyDescent="0.3">
      <c r="A136" s="7" t="s">
        <v>154</v>
      </c>
      <c r="B136" s="13">
        <v>43247.876875000002</v>
      </c>
      <c r="C136" s="13">
        <v>43252.876876876871</v>
      </c>
      <c r="D136" s="8" t="s">
        <v>1021</v>
      </c>
      <c r="E136" s="8" t="s">
        <v>1158</v>
      </c>
      <c r="F136" s="8" t="s">
        <v>2087</v>
      </c>
      <c r="G136" s="8" t="s">
        <v>2407</v>
      </c>
      <c r="H136" s="8" t="s">
        <v>2409</v>
      </c>
      <c r="I136" s="8" t="s">
        <v>2415</v>
      </c>
      <c r="J136" s="16" t="s">
        <v>3894</v>
      </c>
      <c r="K136" s="16">
        <v>87932</v>
      </c>
      <c r="L136" s="8" t="s">
        <v>2422</v>
      </c>
      <c r="M136" s="8" t="s">
        <v>2471</v>
      </c>
      <c r="N136" s="8" t="s">
        <v>3373</v>
      </c>
      <c r="O136" s="8" t="s">
        <v>3381</v>
      </c>
      <c r="P136" s="8" t="s">
        <v>3505</v>
      </c>
      <c r="Q136" s="8">
        <v>524.28</v>
      </c>
      <c r="R136" s="16">
        <v>2</v>
      </c>
      <c r="S136" s="21">
        <v>0.69</v>
      </c>
      <c r="T136" s="16">
        <v>147.30000000000001</v>
      </c>
    </row>
    <row r="137" spans="1:20" x14ac:dyDescent="0.3">
      <c r="A137" s="5" t="s">
        <v>155</v>
      </c>
      <c r="B137" s="12">
        <v>43248.972974537035</v>
      </c>
      <c r="C137" s="12">
        <v>43253.972972972973</v>
      </c>
      <c r="D137" s="6" t="s">
        <v>1020</v>
      </c>
      <c r="E137" s="6" t="s">
        <v>1159</v>
      </c>
      <c r="F137" s="6" t="s">
        <v>2088</v>
      </c>
      <c r="G137" s="6" t="s">
        <v>2408</v>
      </c>
      <c r="H137" s="6" t="s">
        <v>2409</v>
      </c>
      <c r="I137" s="6" t="s">
        <v>2412</v>
      </c>
      <c r="J137" s="15" t="s">
        <v>3895</v>
      </c>
      <c r="K137" s="15">
        <v>84174</v>
      </c>
      <c r="L137" s="6" t="s">
        <v>2420</v>
      </c>
      <c r="M137" s="6" t="s">
        <v>2556</v>
      </c>
      <c r="N137" s="6" t="s">
        <v>3372</v>
      </c>
      <c r="O137" s="6" t="s">
        <v>3384</v>
      </c>
      <c r="P137" s="6" t="s">
        <v>3506</v>
      </c>
      <c r="Q137" s="6">
        <v>1839.17</v>
      </c>
      <c r="R137" s="15">
        <v>12</v>
      </c>
      <c r="S137" s="20">
        <v>0.28000000000000003</v>
      </c>
      <c r="T137" s="15">
        <v>944.75</v>
      </c>
    </row>
    <row r="138" spans="1:20" x14ac:dyDescent="0.3">
      <c r="A138" s="7" t="s">
        <v>156</v>
      </c>
      <c r="B138" s="13">
        <v>43250.069074074076</v>
      </c>
      <c r="C138" s="13">
        <v>43252.069069069061</v>
      </c>
      <c r="D138" s="8" t="s">
        <v>1022</v>
      </c>
      <c r="E138" s="8" t="s">
        <v>1160</v>
      </c>
      <c r="F138" s="8" t="s">
        <v>2089</v>
      </c>
      <c r="G138" s="8" t="s">
        <v>2408</v>
      </c>
      <c r="H138" s="8" t="s">
        <v>2409</v>
      </c>
      <c r="I138" s="8" t="s">
        <v>2415</v>
      </c>
      <c r="J138" s="16" t="s">
        <v>3893</v>
      </c>
      <c r="K138" s="16">
        <v>85726</v>
      </c>
      <c r="L138" s="8" t="s">
        <v>2421</v>
      </c>
      <c r="M138" s="8" t="s">
        <v>2557</v>
      </c>
      <c r="N138" s="8" t="s">
        <v>3372</v>
      </c>
      <c r="O138" s="8" t="s">
        <v>3376</v>
      </c>
      <c r="P138" s="8" t="s">
        <v>3498</v>
      </c>
      <c r="Q138" s="8">
        <v>1314.14</v>
      </c>
      <c r="R138" s="16">
        <v>12</v>
      </c>
      <c r="S138" s="21">
        <v>7.0000000000000007E-2</v>
      </c>
      <c r="T138" s="16">
        <v>78.95</v>
      </c>
    </row>
    <row r="139" spans="1:20" x14ac:dyDescent="0.3">
      <c r="A139" s="5" t="s">
        <v>157</v>
      </c>
      <c r="B139" s="12">
        <v>43251.165162037039</v>
      </c>
      <c r="C139" s="12">
        <v>43253.165165165163</v>
      </c>
      <c r="D139" s="6" t="s">
        <v>1023</v>
      </c>
      <c r="E139" s="6" t="s">
        <v>1161</v>
      </c>
      <c r="F139" s="6" t="s">
        <v>2090</v>
      </c>
      <c r="G139" s="6" t="s">
        <v>2408</v>
      </c>
      <c r="H139" s="6" t="s">
        <v>2409</v>
      </c>
      <c r="I139" s="6" t="s">
        <v>2417</v>
      </c>
      <c r="J139" s="15" t="s">
        <v>3896</v>
      </c>
      <c r="K139" s="15">
        <v>88334</v>
      </c>
      <c r="L139" s="6" t="s">
        <v>2422</v>
      </c>
      <c r="M139" s="6" t="s">
        <v>2558</v>
      </c>
      <c r="N139" s="6" t="s">
        <v>3371</v>
      </c>
      <c r="O139" s="6" t="s">
        <v>3375</v>
      </c>
      <c r="P139" s="6" t="s">
        <v>3507</v>
      </c>
      <c r="Q139" s="6">
        <v>3259.67</v>
      </c>
      <c r="R139" s="15">
        <v>4</v>
      </c>
      <c r="S139" s="20">
        <v>7.0000000000000007E-2</v>
      </c>
      <c r="T139" s="15">
        <v>1750.07</v>
      </c>
    </row>
    <row r="140" spans="1:20" x14ac:dyDescent="0.3">
      <c r="A140" s="7" t="s">
        <v>158</v>
      </c>
      <c r="B140" s="13">
        <v>43252.261261574073</v>
      </c>
      <c r="C140" s="13">
        <v>43256.26126126125</v>
      </c>
      <c r="D140" s="8" t="s">
        <v>1022</v>
      </c>
      <c r="E140" s="8" t="s">
        <v>1037</v>
      </c>
      <c r="F140" s="8" t="s">
        <v>2091</v>
      </c>
      <c r="G140" s="8" t="s">
        <v>2408</v>
      </c>
      <c r="H140" s="8" t="s">
        <v>2409</v>
      </c>
      <c r="I140" s="8" t="s">
        <v>2410</v>
      </c>
      <c r="J140" s="16" t="s">
        <v>3893</v>
      </c>
      <c r="K140" s="16">
        <v>17326</v>
      </c>
      <c r="L140" s="8" t="s">
        <v>2421</v>
      </c>
      <c r="M140" s="8" t="s">
        <v>2559</v>
      </c>
      <c r="N140" s="8" t="s">
        <v>3371</v>
      </c>
      <c r="O140" s="8" t="s">
        <v>3374</v>
      </c>
      <c r="P140" s="8" t="s">
        <v>3508</v>
      </c>
      <c r="Q140" s="8">
        <v>3574.91</v>
      </c>
      <c r="R140" s="16">
        <v>14</v>
      </c>
      <c r="S140" s="21">
        <v>0.67</v>
      </c>
      <c r="T140" s="16">
        <v>386.96</v>
      </c>
    </row>
    <row r="141" spans="1:20" x14ac:dyDescent="0.3">
      <c r="A141" s="5" t="s">
        <v>159</v>
      </c>
      <c r="B141" s="12">
        <v>43253.357361111113</v>
      </c>
      <c r="C141" s="12">
        <v>43254.357357357352</v>
      </c>
      <c r="D141" s="6" t="s">
        <v>1021</v>
      </c>
      <c r="E141" s="6" t="s">
        <v>1162</v>
      </c>
      <c r="F141" s="6" t="s">
        <v>2092</v>
      </c>
      <c r="G141" s="6" t="s">
        <v>2407</v>
      </c>
      <c r="H141" s="6" t="s">
        <v>2409</v>
      </c>
      <c r="I141" s="6" t="s">
        <v>2416</v>
      </c>
      <c r="J141" s="15" t="s">
        <v>3894</v>
      </c>
      <c r="K141" s="15">
        <v>32383</v>
      </c>
      <c r="L141" s="6" t="s">
        <v>2422</v>
      </c>
      <c r="M141" s="6" t="s">
        <v>2560</v>
      </c>
      <c r="N141" s="6" t="s">
        <v>3373</v>
      </c>
      <c r="O141" s="6" t="s">
        <v>3380</v>
      </c>
      <c r="P141" s="6" t="s">
        <v>3425</v>
      </c>
      <c r="Q141" s="6">
        <v>4509.2299999999996</v>
      </c>
      <c r="R141" s="15">
        <v>9</v>
      </c>
      <c r="S141" s="20">
        <v>0.4</v>
      </c>
      <c r="T141" s="15">
        <v>556.65</v>
      </c>
    </row>
    <row r="142" spans="1:20" x14ac:dyDescent="0.3">
      <c r="A142" s="7" t="s">
        <v>160</v>
      </c>
      <c r="B142" s="13">
        <v>43254.453449074077</v>
      </c>
      <c r="C142" s="13">
        <v>43259.453453453447</v>
      </c>
      <c r="D142" s="8" t="s">
        <v>1023</v>
      </c>
      <c r="E142" s="8" t="s">
        <v>1163</v>
      </c>
      <c r="F142" s="8" t="s">
        <v>2093</v>
      </c>
      <c r="G142" s="8" t="s">
        <v>2408</v>
      </c>
      <c r="H142" s="8" t="s">
        <v>2409</v>
      </c>
      <c r="I142" s="8" t="s">
        <v>2412</v>
      </c>
      <c r="J142" s="16" t="s">
        <v>3893</v>
      </c>
      <c r="K142" s="16">
        <v>35592</v>
      </c>
      <c r="L142" s="8" t="s">
        <v>2422</v>
      </c>
      <c r="M142" s="8" t="s">
        <v>2561</v>
      </c>
      <c r="N142" s="8" t="s">
        <v>3371</v>
      </c>
      <c r="O142" s="8" t="s">
        <v>3383</v>
      </c>
      <c r="P142" s="8" t="s">
        <v>3396</v>
      </c>
      <c r="Q142" s="8">
        <v>4451.7299999999996</v>
      </c>
      <c r="R142" s="16">
        <v>10</v>
      </c>
      <c r="S142" s="21">
        <v>0.04</v>
      </c>
      <c r="T142" s="16">
        <v>2112.88</v>
      </c>
    </row>
    <row r="143" spans="1:20" x14ac:dyDescent="0.3">
      <c r="A143" s="5" t="s">
        <v>161</v>
      </c>
      <c r="B143" s="12">
        <v>43255.54954861111</v>
      </c>
      <c r="C143" s="12">
        <v>43261.549549549549</v>
      </c>
      <c r="D143" s="6" t="s">
        <v>1023</v>
      </c>
      <c r="E143" s="6" t="s">
        <v>1164</v>
      </c>
      <c r="F143" s="6" t="s">
        <v>2044</v>
      </c>
      <c r="G143" s="6" t="s">
        <v>2407</v>
      </c>
      <c r="H143" s="6" t="s">
        <v>2409</v>
      </c>
      <c r="I143" s="6" t="s">
        <v>2414</v>
      </c>
      <c r="J143" s="15" t="s">
        <v>3895</v>
      </c>
      <c r="K143" s="15">
        <v>28584</v>
      </c>
      <c r="L143" s="6" t="s">
        <v>2422</v>
      </c>
      <c r="M143" s="6" t="s">
        <v>2562</v>
      </c>
      <c r="N143" s="6" t="s">
        <v>3373</v>
      </c>
      <c r="O143" s="6" t="s">
        <v>3381</v>
      </c>
      <c r="P143" s="6" t="s">
        <v>3509</v>
      </c>
      <c r="Q143" s="6">
        <v>424.38</v>
      </c>
      <c r="R143" s="15">
        <v>5</v>
      </c>
      <c r="S143" s="20">
        <v>0.14000000000000001</v>
      </c>
      <c r="T143" s="15">
        <v>-54.42</v>
      </c>
    </row>
    <row r="144" spans="1:20" x14ac:dyDescent="0.3">
      <c r="A144" s="7" t="s">
        <v>162</v>
      </c>
      <c r="B144" s="13">
        <v>43256.645648148151</v>
      </c>
      <c r="C144" s="13">
        <v>43257.645645645644</v>
      </c>
      <c r="D144" s="8" t="s">
        <v>1023</v>
      </c>
      <c r="E144" s="8" t="s">
        <v>1165</v>
      </c>
      <c r="F144" s="8" t="s">
        <v>2094</v>
      </c>
      <c r="G144" s="8" t="s">
        <v>2406</v>
      </c>
      <c r="H144" s="8" t="s">
        <v>2409</v>
      </c>
      <c r="I144" s="8" t="s">
        <v>2414</v>
      </c>
      <c r="J144" s="16" t="s">
        <v>3891</v>
      </c>
      <c r="K144" s="16">
        <v>81513</v>
      </c>
      <c r="L144" s="8" t="s">
        <v>2419</v>
      </c>
      <c r="M144" s="8" t="s">
        <v>2563</v>
      </c>
      <c r="N144" s="8" t="s">
        <v>3373</v>
      </c>
      <c r="O144" s="8" t="s">
        <v>3385</v>
      </c>
      <c r="P144" s="8" t="s">
        <v>3510</v>
      </c>
      <c r="Q144" s="8">
        <v>774.68</v>
      </c>
      <c r="R144" s="16">
        <v>7</v>
      </c>
      <c r="S144" s="21">
        <v>0.73</v>
      </c>
      <c r="T144" s="16">
        <v>20.29</v>
      </c>
    </row>
    <row r="145" spans="1:20" x14ac:dyDescent="0.3">
      <c r="A145" s="5" t="s">
        <v>163</v>
      </c>
      <c r="B145" s="12">
        <v>43257.741736111115</v>
      </c>
      <c r="C145" s="12">
        <v>43262.741741741738</v>
      </c>
      <c r="D145" s="6" t="s">
        <v>1022</v>
      </c>
      <c r="E145" s="6" t="s">
        <v>1166</v>
      </c>
      <c r="F145" s="6" t="s">
        <v>2095</v>
      </c>
      <c r="G145" s="6" t="s">
        <v>2406</v>
      </c>
      <c r="H145" s="6" t="s">
        <v>2409</v>
      </c>
      <c r="I145" s="6" t="s">
        <v>2412</v>
      </c>
      <c r="J145" s="15" t="s">
        <v>3896</v>
      </c>
      <c r="K145" s="15">
        <v>32684</v>
      </c>
      <c r="L145" s="6" t="s">
        <v>2422</v>
      </c>
      <c r="M145" s="6" t="s">
        <v>2564</v>
      </c>
      <c r="N145" s="6" t="s">
        <v>3373</v>
      </c>
      <c r="O145" s="6" t="s">
        <v>3380</v>
      </c>
      <c r="P145" s="6" t="s">
        <v>3511</v>
      </c>
      <c r="Q145" s="6">
        <v>1627.57</v>
      </c>
      <c r="R145" s="15">
        <v>3</v>
      </c>
      <c r="S145" s="20">
        <v>0.54</v>
      </c>
      <c r="T145" s="15">
        <v>50.47</v>
      </c>
    </row>
    <row r="146" spans="1:20" x14ac:dyDescent="0.3">
      <c r="A146" s="7" t="s">
        <v>164</v>
      </c>
      <c r="B146" s="13">
        <v>43258.837835648148</v>
      </c>
      <c r="C146" s="13">
        <v>43260.837837837833</v>
      </c>
      <c r="D146" s="8" t="s">
        <v>1021</v>
      </c>
      <c r="E146" s="8" t="s">
        <v>1167</v>
      </c>
      <c r="F146" s="8" t="s">
        <v>1976</v>
      </c>
      <c r="G146" s="8" t="s">
        <v>2406</v>
      </c>
      <c r="H146" s="8" t="s">
        <v>2409</v>
      </c>
      <c r="I146" s="8" t="s">
        <v>2410</v>
      </c>
      <c r="J146" s="16" t="s">
        <v>3897</v>
      </c>
      <c r="K146" s="16">
        <v>59239</v>
      </c>
      <c r="L146" s="8" t="s">
        <v>2422</v>
      </c>
      <c r="M146" s="8" t="s">
        <v>2565</v>
      </c>
      <c r="N146" s="8" t="s">
        <v>3372</v>
      </c>
      <c r="O146" s="8" t="s">
        <v>3384</v>
      </c>
      <c r="P146" s="8" t="s">
        <v>3460</v>
      </c>
      <c r="Q146" s="8">
        <v>773.26</v>
      </c>
      <c r="R146" s="16">
        <v>13</v>
      </c>
      <c r="S146" s="21">
        <v>0.85</v>
      </c>
      <c r="T146" s="16">
        <v>319.26</v>
      </c>
    </row>
    <row r="147" spans="1:20" x14ac:dyDescent="0.3">
      <c r="A147" s="5" t="s">
        <v>165</v>
      </c>
      <c r="B147" s="12">
        <v>43259.933935185189</v>
      </c>
      <c r="C147" s="12">
        <v>43262.93393393392</v>
      </c>
      <c r="D147" s="6" t="s">
        <v>1023</v>
      </c>
      <c r="E147" s="6" t="s">
        <v>1168</v>
      </c>
      <c r="F147" s="6" t="s">
        <v>1991</v>
      </c>
      <c r="G147" s="6" t="s">
        <v>2408</v>
      </c>
      <c r="H147" s="6" t="s">
        <v>2409</v>
      </c>
      <c r="I147" s="6" t="s">
        <v>2416</v>
      </c>
      <c r="J147" s="15" t="s">
        <v>3894</v>
      </c>
      <c r="K147" s="15">
        <v>65391</v>
      </c>
      <c r="L147" s="6" t="s">
        <v>2420</v>
      </c>
      <c r="M147" s="6" t="s">
        <v>2566</v>
      </c>
      <c r="N147" s="6" t="s">
        <v>3372</v>
      </c>
      <c r="O147" s="6" t="s">
        <v>3384</v>
      </c>
      <c r="P147" s="6" t="s">
        <v>3512</v>
      </c>
      <c r="Q147" s="6">
        <v>3699.02</v>
      </c>
      <c r="R147" s="15">
        <v>7</v>
      </c>
      <c r="S147" s="20">
        <v>0.28999999999999998</v>
      </c>
      <c r="T147" s="15">
        <v>387.03</v>
      </c>
    </row>
    <row r="148" spans="1:20" x14ac:dyDescent="0.3">
      <c r="A148" s="7" t="s">
        <v>166</v>
      </c>
      <c r="B148" s="13">
        <v>43261.030034722222</v>
      </c>
      <c r="C148" s="13">
        <v>43267.030030030022</v>
      </c>
      <c r="D148" s="8" t="s">
        <v>1021</v>
      </c>
      <c r="E148" s="8" t="s">
        <v>1169</v>
      </c>
      <c r="F148" s="8" t="s">
        <v>2096</v>
      </c>
      <c r="G148" s="8" t="s">
        <v>2407</v>
      </c>
      <c r="H148" s="8" t="s">
        <v>2409</v>
      </c>
      <c r="I148" s="8" t="s">
        <v>2414</v>
      </c>
      <c r="J148" s="16" t="s">
        <v>3896</v>
      </c>
      <c r="K148" s="16">
        <v>76247</v>
      </c>
      <c r="L148" s="8" t="s">
        <v>2420</v>
      </c>
      <c r="M148" s="8" t="s">
        <v>2567</v>
      </c>
      <c r="N148" s="8" t="s">
        <v>3371</v>
      </c>
      <c r="O148" s="8" t="s">
        <v>3375</v>
      </c>
      <c r="P148" s="8" t="s">
        <v>3413</v>
      </c>
      <c r="Q148" s="8">
        <v>2024.76</v>
      </c>
      <c r="R148" s="16">
        <v>8</v>
      </c>
      <c r="S148" s="21">
        <v>0.72</v>
      </c>
      <c r="T148" s="16">
        <v>568.45000000000005</v>
      </c>
    </row>
    <row r="149" spans="1:20" x14ac:dyDescent="0.3">
      <c r="A149" s="5" t="s">
        <v>167</v>
      </c>
      <c r="B149" s="12">
        <v>43262.126122685186</v>
      </c>
      <c r="C149" s="12">
        <v>43268.126126126117</v>
      </c>
      <c r="D149" s="6" t="s">
        <v>1022</v>
      </c>
      <c r="E149" s="6" t="s">
        <v>1170</v>
      </c>
      <c r="F149" s="6" t="s">
        <v>2097</v>
      </c>
      <c r="G149" s="6" t="s">
        <v>2406</v>
      </c>
      <c r="H149" s="6" t="s">
        <v>2409</v>
      </c>
      <c r="I149" s="6" t="s">
        <v>2410</v>
      </c>
      <c r="J149" s="15" t="s">
        <v>3897</v>
      </c>
      <c r="K149" s="15">
        <v>23603</v>
      </c>
      <c r="L149" s="6" t="s">
        <v>2422</v>
      </c>
      <c r="M149" s="6" t="s">
        <v>2568</v>
      </c>
      <c r="N149" s="6" t="s">
        <v>3373</v>
      </c>
      <c r="O149" s="6" t="s">
        <v>3380</v>
      </c>
      <c r="P149" s="6" t="s">
        <v>3513</v>
      </c>
      <c r="Q149" s="6">
        <v>2680.38</v>
      </c>
      <c r="R149" s="15">
        <v>3</v>
      </c>
      <c r="S149" s="20">
        <v>0.05</v>
      </c>
      <c r="T149" s="15">
        <v>96.12</v>
      </c>
    </row>
    <row r="150" spans="1:20" x14ac:dyDescent="0.3">
      <c r="A150" s="7" t="s">
        <v>168</v>
      </c>
      <c r="B150" s="13">
        <v>43263.222222222219</v>
      </c>
      <c r="C150" s="13">
        <v>43267.222222222219</v>
      </c>
      <c r="D150" s="8" t="s">
        <v>1021</v>
      </c>
      <c r="E150" s="8" t="s">
        <v>1171</v>
      </c>
      <c r="F150" s="8" t="s">
        <v>2098</v>
      </c>
      <c r="G150" s="8" t="s">
        <v>2406</v>
      </c>
      <c r="H150" s="8" t="s">
        <v>2409</v>
      </c>
      <c r="I150" s="8" t="s">
        <v>2413</v>
      </c>
      <c r="J150" s="16" t="s">
        <v>3893</v>
      </c>
      <c r="K150" s="16">
        <v>80251</v>
      </c>
      <c r="L150" s="8" t="s">
        <v>2421</v>
      </c>
      <c r="M150" s="8" t="s">
        <v>2569</v>
      </c>
      <c r="N150" s="8" t="s">
        <v>3372</v>
      </c>
      <c r="O150" s="8" t="s">
        <v>3376</v>
      </c>
      <c r="P150" s="8" t="s">
        <v>3514</v>
      </c>
      <c r="Q150" s="8">
        <v>3707.84</v>
      </c>
      <c r="R150" s="16">
        <v>13</v>
      </c>
      <c r="S150" s="21">
        <v>0.87</v>
      </c>
      <c r="T150" s="16">
        <v>781.55</v>
      </c>
    </row>
    <row r="151" spans="1:20" x14ac:dyDescent="0.3">
      <c r="A151" s="5" t="s">
        <v>169</v>
      </c>
      <c r="B151" s="12">
        <v>43264.31832175926</v>
      </c>
      <c r="C151" s="12">
        <v>43270.318318318306</v>
      </c>
      <c r="D151" s="6" t="s">
        <v>1023</v>
      </c>
      <c r="E151" s="6" t="s">
        <v>1111</v>
      </c>
      <c r="F151" s="6" t="s">
        <v>2015</v>
      </c>
      <c r="G151" s="6" t="s">
        <v>2408</v>
      </c>
      <c r="H151" s="6" t="s">
        <v>2409</v>
      </c>
      <c r="I151" s="6" t="s">
        <v>2413</v>
      </c>
      <c r="J151" s="15" t="s">
        <v>3892</v>
      </c>
      <c r="K151" s="15">
        <v>42299</v>
      </c>
      <c r="L151" s="6" t="s">
        <v>2422</v>
      </c>
      <c r="M151" s="6" t="s">
        <v>2570</v>
      </c>
      <c r="N151" s="6" t="s">
        <v>3373</v>
      </c>
      <c r="O151" s="6" t="s">
        <v>3381</v>
      </c>
      <c r="P151" s="6" t="s">
        <v>3515</v>
      </c>
      <c r="Q151" s="6">
        <v>643.08000000000004</v>
      </c>
      <c r="R151" s="15">
        <v>5</v>
      </c>
      <c r="S151" s="20">
        <v>0.64</v>
      </c>
      <c r="T151" s="15">
        <v>191.48</v>
      </c>
    </row>
    <row r="152" spans="1:20" x14ac:dyDescent="0.3">
      <c r="A152" s="7" t="s">
        <v>170</v>
      </c>
      <c r="B152" s="13">
        <v>43265.414409722223</v>
      </c>
      <c r="C152" s="13">
        <v>43266.414414414408</v>
      </c>
      <c r="D152" s="8" t="s">
        <v>1023</v>
      </c>
      <c r="E152" s="8" t="s">
        <v>1172</v>
      </c>
      <c r="F152" s="8" t="s">
        <v>2099</v>
      </c>
      <c r="G152" s="8" t="s">
        <v>2406</v>
      </c>
      <c r="H152" s="8" t="s">
        <v>2409</v>
      </c>
      <c r="I152" s="8" t="s">
        <v>2415</v>
      </c>
      <c r="J152" s="16" t="s">
        <v>3891</v>
      </c>
      <c r="K152" s="16">
        <v>82053</v>
      </c>
      <c r="L152" s="8" t="s">
        <v>2422</v>
      </c>
      <c r="M152" s="8" t="s">
        <v>2571</v>
      </c>
      <c r="N152" s="8" t="s">
        <v>3373</v>
      </c>
      <c r="O152" s="8" t="s">
        <v>3381</v>
      </c>
      <c r="P152" s="8" t="s">
        <v>3516</v>
      </c>
      <c r="Q152" s="8">
        <v>413.87</v>
      </c>
      <c r="R152" s="16">
        <v>12</v>
      </c>
      <c r="S152" s="21">
        <v>0.2</v>
      </c>
      <c r="T152" s="16">
        <v>106.5</v>
      </c>
    </row>
    <row r="153" spans="1:20" x14ac:dyDescent="0.3">
      <c r="A153" s="5" t="s">
        <v>171</v>
      </c>
      <c r="B153" s="12">
        <v>43266.510509259257</v>
      </c>
      <c r="C153" s="12">
        <v>43269.51051051051</v>
      </c>
      <c r="D153" s="6" t="s">
        <v>1022</v>
      </c>
      <c r="E153" s="6" t="s">
        <v>1173</v>
      </c>
      <c r="F153" s="6" t="s">
        <v>2100</v>
      </c>
      <c r="G153" s="6" t="s">
        <v>2407</v>
      </c>
      <c r="H153" s="6" t="s">
        <v>2409</v>
      </c>
      <c r="I153" s="6" t="s">
        <v>2418</v>
      </c>
      <c r="J153" s="15" t="s">
        <v>3892</v>
      </c>
      <c r="K153" s="15">
        <v>71352</v>
      </c>
      <c r="L153" s="6" t="s">
        <v>2420</v>
      </c>
      <c r="M153" s="6" t="s">
        <v>2572</v>
      </c>
      <c r="N153" s="6" t="s">
        <v>3373</v>
      </c>
      <c r="O153" s="6" t="s">
        <v>3381</v>
      </c>
      <c r="P153" s="6" t="s">
        <v>3403</v>
      </c>
      <c r="Q153" s="6">
        <v>1950.38</v>
      </c>
      <c r="R153" s="15">
        <v>2</v>
      </c>
      <c r="S153" s="20">
        <v>0</v>
      </c>
      <c r="T153" s="15">
        <v>594.16</v>
      </c>
    </row>
    <row r="154" spans="1:20" x14ac:dyDescent="0.3">
      <c r="A154" s="7" t="s">
        <v>172</v>
      </c>
      <c r="B154" s="13">
        <v>43267.606608796297</v>
      </c>
      <c r="C154" s="13">
        <v>43272.606606606598</v>
      </c>
      <c r="D154" s="8" t="s">
        <v>1023</v>
      </c>
      <c r="E154" s="8" t="s">
        <v>1174</v>
      </c>
      <c r="F154" s="8" t="s">
        <v>2101</v>
      </c>
      <c r="G154" s="8" t="s">
        <v>2407</v>
      </c>
      <c r="H154" s="8" t="s">
        <v>2409</v>
      </c>
      <c r="I154" s="8" t="s">
        <v>2415</v>
      </c>
      <c r="J154" s="16" t="s">
        <v>3892</v>
      </c>
      <c r="K154" s="16">
        <v>91419</v>
      </c>
      <c r="L154" s="8" t="s">
        <v>2420</v>
      </c>
      <c r="M154" s="8" t="s">
        <v>2573</v>
      </c>
      <c r="N154" s="8" t="s">
        <v>3372</v>
      </c>
      <c r="O154" s="8" t="s">
        <v>3378</v>
      </c>
      <c r="P154" s="8" t="s">
        <v>3517</v>
      </c>
      <c r="Q154" s="8">
        <v>3999.84</v>
      </c>
      <c r="R154" s="16">
        <v>10</v>
      </c>
      <c r="S154" s="21">
        <v>0.81</v>
      </c>
      <c r="T154" s="16">
        <v>1803.44</v>
      </c>
    </row>
    <row r="155" spans="1:20" x14ac:dyDescent="0.3">
      <c r="A155" s="5" t="s">
        <v>173</v>
      </c>
      <c r="B155" s="12">
        <v>43268.702708333331</v>
      </c>
      <c r="C155" s="12">
        <v>43270.7027027027</v>
      </c>
      <c r="D155" s="6" t="s">
        <v>1023</v>
      </c>
      <c r="E155" s="6" t="s">
        <v>1175</v>
      </c>
      <c r="F155" s="6" t="s">
        <v>2102</v>
      </c>
      <c r="G155" s="6" t="s">
        <v>2406</v>
      </c>
      <c r="H155" s="6" t="s">
        <v>2409</v>
      </c>
      <c r="I155" s="6" t="s">
        <v>2411</v>
      </c>
      <c r="J155" s="15" t="s">
        <v>3891</v>
      </c>
      <c r="K155" s="15">
        <v>35489</v>
      </c>
      <c r="L155" s="6" t="s">
        <v>2421</v>
      </c>
      <c r="M155" s="6" t="s">
        <v>2574</v>
      </c>
      <c r="N155" s="6" t="s">
        <v>3372</v>
      </c>
      <c r="O155" s="6" t="s">
        <v>3376</v>
      </c>
      <c r="P155" s="6" t="s">
        <v>3518</v>
      </c>
      <c r="Q155" s="6">
        <v>4226.8</v>
      </c>
      <c r="R155" s="15">
        <v>9</v>
      </c>
      <c r="S155" s="20">
        <v>0.71</v>
      </c>
      <c r="T155" s="15">
        <v>1882.57</v>
      </c>
    </row>
    <row r="156" spans="1:20" x14ac:dyDescent="0.3">
      <c r="A156" s="7" t="s">
        <v>174</v>
      </c>
      <c r="B156" s="13">
        <v>43269.798796296294</v>
      </c>
      <c r="C156" s="13">
        <v>43273.798798798787</v>
      </c>
      <c r="D156" s="8" t="s">
        <v>1020</v>
      </c>
      <c r="E156" s="8" t="s">
        <v>1176</v>
      </c>
      <c r="F156" s="8" t="s">
        <v>2014</v>
      </c>
      <c r="G156" s="8" t="s">
        <v>2407</v>
      </c>
      <c r="H156" s="8" t="s">
        <v>2409</v>
      </c>
      <c r="I156" s="8" t="s">
        <v>2412</v>
      </c>
      <c r="J156" s="16" t="s">
        <v>3894</v>
      </c>
      <c r="K156" s="16">
        <v>27261</v>
      </c>
      <c r="L156" s="8" t="s">
        <v>2422</v>
      </c>
      <c r="M156" s="8" t="s">
        <v>2575</v>
      </c>
      <c r="N156" s="8" t="s">
        <v>3373</v>
      </c>
      <c r="O156" s="8" t="s">
        <v>3380</v>
      </c>
      <c r="P156" s="8" t="s">
        <v>3519</v>
      </c>
      <c r="Q156" s="8">
        <v>2395.38</v>
      </c>
      <c r="R156" s="16">
        <v>10</v>
      </c>
      <c r="S156" s="21">
        <v>0.26</v>
      </c>
      <c r="T156" s="16">
        <v>671.84</v>
      </c>
    </row>
    <row r="157" spans="1:20" x14ac:dyDescent="0.3">
      <c r="A157" s="5" t="s">
        <v>175</v>
      </c>
      <c r="B157" s="12">
        <v>43270.894895833335</v>
      </c>
      <c r="C157" s="12">
        <v>43274.894894894882</v>
      </c>
      <c r="D157" s="6" t="s">
        <v>1022</v>
      </c>
      <c r="E157" s="6" t="s">
        <v>1177</v>
      </c>
      <c r="F157" s="6" t="s">
        <v>2103</v>
      </c>
      <c r="G157" s="6" t="s">
        <v>2408</v>
      </c>
      <c r="H157" s="6" t="s">
        <v>2409</v>
      </c>
      <c r="I157" s="6" t="s">
        <v>2415</v>
      </c>
      <c r="J157" s="15" t="s">
        <v>3896</v>
      </c>
      <c r="K157" s="15">
        <v>52203</v>
      </c>
      <c r="L157" s="6" t="s">
        <v>2419</v>
      </c>
      <c r="M157" s="6" t="s">
        <v>2576</v>
      </c>
      <c r="N157" s="6" t="s">
        <v>3371</v>
      </c>
      <c r="O157" s="6" t="s">
        <v>3375</v>
      </c>
      <c r="P157" s="6" t="s">
        <v>3520</v>
      </c>
      <c r="Q157" s="6">
        <v>1098.76</v>
      </c>
      <c r="R157" s="15">
        <v>7</v>
      </c>
      <c r="S157" s="20">
        <v>0.54</v>
      </c>
      <c r="T157" s="15">
        <v>370.38</v>
      </c>
    </row>
    <row r="158" spans="1:20" x14ac:dyDescent="0.3">
      <c r="A158" s="7" t="s">
        <v>176</v>
      </c>
      <c r="B158" s="13">
        <v>43271.990995370368</v>
      </c>
      <c r="C158" s="13">
        <v>43277.990990990977</v>
      </c>
      <c r="D158" s="8" t="s">
        <v>1022</v>
      </c>
      <c r="E158" s="8" t="s">
        <v>1178</v>
      </c>
      <c r="F158" s="8" t="s">
        <v>2068</v>
      </c>
      <c r="G158" s="8" t="s">
        <v>2407</v>
      </c>
      <c r="H158" s="8" t="s">
        <v>2409</v>
      </c>
      <c r="I158" s="8" t="s">
        <v>2411</v>
      </c>
      <c r="J158" s="16" t="s">
        <v>3891</v>
      </c>
      <c r="K158" s="16">
        <v>28843</v>
      </c>
      <c r="L158" s="8" t="s">
        <v>2422</v>
      </c>
      <c r="M158" s="8" t="s">
        <v>2577</v>
      </c>
      <c r="N158" s="8" t="s">
        <v>3372</v>
      </c>
      <c r="O158" s="8" t="s">
        <v>3377</v>
      </c>
      <c r="P158" s="8" t="s">
        <v>3521</v>
      </c>
      <c r="Q158" s="8">
        <v>4966.49</v>
      </c>
      <c r="R158" s="16">
        <v>9</v>
      </c>
      <c r="S158" s="21">
        <v>0.53</v>
      </c>
      <c r="T158" s="16">
        <v>-990.7</v>
      </c>
    </row>
    <row r="159" spans="1:20" x14ac:dyDescent="0.3">
      <c r="A159" s="5" t="s">
        <v>177</v>
      </c>
      <c r="B159" s="12">
        <v>43273.087083333332</v>
      </c>
      <c r="C159" s="12">
        <v>43275.087087087093</v>
      </c>
      <c r="D159" s="6" t="s">
        <v>1020</v>
      </c>
      <c r="E159" s="6" t="s">
        <v>1179</v>
      </c>
      <c r="F159" s="6" t="s">
        <v>2104</v>
      </c>
      <c r="G159" s="6" t="s">
        <v>2407</v>
      </c>
      <c r="H159" s="6" t="s">
        <v>2409</v>
      </c>
      <c r="I159" s="6" t="s">
        <v>2418</v>
      </c>
      <c r="J159" s="15" t="s">
        <v>2410</v>
      </c>
      <c r="K159" s="15">
        <v>89476</v>
      </c>
      <c r="L159" s="6" t="s">
        <v>2419</v>
      </c>
      <c r="M159" s="6" t="s">
        <v>2578</v>
      </c>
      <c r="N159" s="6" t="s">
        <v>3373</v>
      </c>
      <c r="O159" s="6" t="s">
        <v>3380</v>
      </c>
      <c r="P159" s="6" t="s">
        <v>3522</v>
      </c>
      <c r="Q159" s="6">
        <v>1705.11</v>
      </c>
      <c r="R159" s="15">
        <v>14</v>
      </c>
      <c r="S159" s="20">
        <v>0.17</v>
      </c>
      <c r="T159" s="15">
        <v>735.65</v>
      </c>
    </row>
    <row r="160" spans="1:20" x14ac:dyDescent="0.3">
      <c r="A160" s="7" t="s">
        <v>178</v>
      </c>
      <c r="B160" s="13">
        <v>43274.183182870373</v>
      </c>
      <c r="C160" s="13">
        <v>43280.183183183181</v>
      </c>
      <c r="D160" s="8" t="s">
        <v>1022</v>
      </c>
      <c r="E160" s="8" t="s">
        <v>1180</v>
      </c>
      <c r="F160" s="8" t="s">
        <v>2105</v>
      </c>
      <c r="G160" s="8" t="s">
        <v>2406</v>
      </c>
      <c r="H160" s="8" t="s">
        <v>2409</v>
      </c>
      <c r="I160" s="8" t="s">
        <v>2416</v>
      </c>
      <c r="J160" s="16" t="s">
        <v>3892</v>
      </c>
      <c r="K160" s="16">
        <v>10474</v>
      </c>
      <c r="L160" s="8" t="s">
        <v>2419</v>
      </c>
      <c r="M160" s="8" t="s">
        <v>2579</v>
      </c>
      <c r="N160" s="8" t="s">
        <v>3373</v>
      </c>
      <c r="O160" s="8" t="s">
        <v>3380</v>
      </c>
      <c r="P160" s="8" t="s">
        <v>3523</v>
      </c>
      <c r="Q160" s="8">
        <v>1280.32</v>
      </c>
      <c r="R160" s="16">
        <v>11</v>
      </c>
      <c r="S160" s="21">
        <v>0.36</v>
      </c>
      <c r="T160" s="16">
        <v>577.5</v>
      </c>
    </row>
    <row r="161" spans="1:20" x14ac:dyDescent="0.3">
      <c r="A161" s="5" t="s">
        <v>179</v>
      </c>
      <c r="B161" s="12">
        <v>43275.279282407406</v>
      </c>
      <c r="C161" s="12">
        <v>43281.279279279268</v>
      </c>
      <c r="D161" s="6" t="s">
        <v>1022</v>
      </c>
      <c r="E161" s="6" t="s">
        <v>1181</v>
      </c>
      <c r="F161" s="6" t="s">
        <v>2060</v>
      </c>
      <c r="G161" s="6" t="s">
        <v>2408</v>
      </c>
      <c r="H161" s="6" t="s">
        <v>2409</v>
      </c>
      <c r="I161" s="6" t="s">
        <v>2411</v>
      </c>
      <c r="J161" s="15" t="s">
        <v>3897</v>
      </c>
      <c r="K161" s="15">
        <v>56763</v>
      </c>
      <c r="L161" s="6" t="s">
        <v>2422</v>
      </c>
      <c r="M161" s="6" t="s">
        <v>2580</v>
      </c>
      <c r="N161" s="6" t="s">
        <v>3372</v>
      </c>
      <c r="O161" s="6" t="s">
        <v>3384</v>
      </c>
      <c r="P161" s="6" t="s">
        <v>3524</v>
      </c>
      <c r="Q161" s="6">
        <v>2352.8000000000002</v>
      </c>
      <c r="R161" s="15">
        <v>14</v>
      </c>
      <c r="S161" s="20">
        <v>0.44</v>
      </c>
      <c r="T161" s="15">
        <v>151.94</v>
      </c>
    </row>
    <row r="162" spans="1:20" x14ac:dyDescent="0.3">
      <c r="A162" s="7" t="s">
        <v>180</v>
      </c>
      <c r="B162" s="13">
        <v>43276.37537037037</v>
      </c>
      <c r="C162" s="13">
        <v>43281.37537537537</v>
      </c>
      <c r="D162" s="8" t="s">
        <v>1023</v>
      </c>
      <c r="E162" s="8" t="s">
        <v>1182</v>
      </c>
      <c r="F162" s="8" t="s">
        <v>2050</v>
      </c>
      <c r="G162" s="8" t="s">
        <v>2408</v>
      </c>
      <c r="H162" s="8" t="s">
        <v>2409</v>
      </c>
      <c r="I162" s="8" t="s">
        <v>2415</v>
      </c>
      <c r="J162" s="16" t="s">
        <v>3892</v>
      </c>
      <c r="K162" s="16">
        <v>13070</v>
      </c>
      <c r="L162" s="8" t="s">
        <v>2420</v>
      </c>
      <c r="M162" s="8" t="s">
        <v>2581</v>
      </c>
      <c r="N162" s="8" t="s">
        <v>3372</v>
      </c>
      <c r="O162" s="8" t="s">
        <v>3376</v>
      </c>
      <c r="P162" s="8" t="s">
        <v>3525</v>
      </c>
      <c r="Q162" s="8">
        <v>678.27</v>
      </c>
      <c r="R162" s="16">
        <v>10</v>
      </c>
      <c r="S162" s="21">
        <v>0.63</v>
      </c>
      <c r="T162" s="16">
        <v>36.71</v>
      </c>
    </row>
    <row r="163" spans="1:20" x14ac:dyDescent="0.3">
      <c r="A163" s="5" t="s">
        <v>181</v>
      </c>
      <c r="B163" s="12">
        <v>43277.47146990741</v>
      </c>
      <c r="C163" s="12">
        <v>43279.471471471472</v>
      </c>
      <c r="D163" s="6" t="s">
        <v>1022</v>
      </c>
      <c r="E163" s="6" t="s">
        <v>1183</v>
      </c>
      <c r="F163" s="6" t="s">
        <v>2003</v>
      </c>
      <c r="G163" s="6" t="s">
        <v>2408</v>
      </c>
      <c r="H163" s="6" t="s">
        <v>2409</v>
      </c>
      <c r="I163" s="6" t="s">
        <v>2417</v>
      </c>
      <c r="J163" s="15" t="s">
        <v>3894</v>
      </c>
      <c r="K163" s="15">
        <v>19228</v>
      </c>
      <c r="L163" s="6" t="s">
        <v>2420</v>
      </c>
      <c r="M163" s="6" t="s">
        <v>2582</v>
      </c>
      <c r="N163" s="6" t="s">
        <v>3372</v>
      </c>
      <c r="O163" s="6" t="s">
        <v>3378</v>
      </c>
      <c r="P163" s="6" t="s">
        <v>3526</v>
      </c>
      <c r="Q163" s="6">
        <v>3252.54</v>
      </c>
      <c r="R163" s="15">
        <v>14</v>
      </c>
      <c r="S163" s="20">
        <v>0.57999999999999996</v>
      </c>
      <c r="T163" s="15">
        <v>1392.15</v>
      </c>
    </row>
    <row r="164" spans="1:20" x14ac:dyDescent="0.3">
      <c r="A164" s="7" t="s">
        <v>182</v>
      </c>
      <c r="B164" s="13">
        <v>43278.567569444444</v>
      </c>
      <c r="C164" s="13">
        <v>43284.567567567559</v>
      </c>
      <c r="D164" s="8" t="s">
        <v>1020</v>
      </c>
      <c r="E164" s="8" t="s">
        <v>1184</v>
      </c>
      <c r="F164" s="8" t="s">
        <v>2006</v>
      </c>
      <c r="G164" s="8" t="s">
        <v>2407</v>
      </c>
      <c r="H164" s="8" t="s">
        <v>2409</v>
      </c>
      <c r="I164" s="8" t="s">
        <v>2418</v>
      </c>
      <c r="J164" s="16" t="s">
        <v>3897</v>
      </c>
      <c r="K164" s="16">
        <v>99888</v>
      </c>
      <c r="L164" s="8" t="s">
        <v>2420</v>
      </c>
      <c r="M164" s="8" t="s">
        <v>2583</v>
      </c>
      <c r="N164" s="8" t="s">
        <v>3373</v>
      </c>
      <c r="O164" s="8" t="s">
        <v>3385</v>
      </c>
      <c r="P164" s="8" t="s">
        <v>3527</v>
      </c>
      <c r="Q164" s="8">
        <v>4974.6000000000004</v>
      </c>
      <c r="R164" s="16">
        <v>10</v>
      </c>
      <c r="S164" s="21">
        <v>0.08</v>
      </c>
      <c r="T164" s="16">
        <v>1673.55</v>
      </c>
    </row>
    <row r="165" spans="1:20" x14ac:dyDescent="0.3">
      <c r="A165" s="5" t="s">
        <v>183</v>
      </c>
      <c r="B165" s="12">
        <v>43279.663668981484</v>
      </c>
      <c r="C165" s="12">
        <v>43283.663663663647</v>
      </c>
      <c r="D165" s="6" t="s">
        <v>1020</v>
      </c>
      <c r="E165" s="6" t="s">
        <v>1185</v>
      </c>
      <c r="F165" s="6" t="s">
        <v>2106</v>
      </c>
      <c r="G165" s="6" t="s">
        <v>2408</v>
      </c>
      <c r="H165" s="6" t="s">
        <v>2409</v>
      </c>
      <c r="I165" s="6" t="s">
        <v>2411</v>
      </c>
      <c r="J165" s="15" t="s">
        <v>3892</v>
      </c>
      <c r="K165" s="15">
        <v>46140</v>
      </c>
      <c r="L165" s="6" t="s">
        <v>2420</v>
      </c>
      <c r="M165" s="6" t="s">
        <v>2584</v>
      </c>
      <c r="N165" s="6" t="s">
        <v>3372</v>
      </c>
      <c r="O165" s="6" t="s">
        <v>3378</v>
      </c>
      <c r="P165" s="6" t="s">
        <v>3528</v>
      </c>
      <c r="Q165" s="6">
        <v>2067.9299999999998</v>
      </c>
      <c r="R165" s="15">
        <v>6</v>
      </c>
      <c r="S165" s="20">
        <v>0.61</v>
      </c>
      <c r="T165" s="15">
        <v>658.23</v>
      </c>
    </row>
    <row r="166" spans="1:20" x14ac:dyDescent="0.3">
      <c r="A166" s="7" t="s">
        <v>184</v>
      </c>
      <c r="B166" s="13">
        <v>43280.759756944448</v>
      </c>
      <c r="C166" s="13">
        <v>43281.759759759763</v>
      </c>
      <c r="D166" s="8" t="s">
        <v>1023</v>
      </c>
      <c r="E166" s="8" t="s">
        <v>1186</v>
      </c>
      <c r="F166" s="8" t="s">
        <v>2107</v>
      </c>
      <c r="G166" s="8" t="s">
        <v>2408</v>
      </c>
      <c r="H166" s="8" t="s">
        <v>2409</v>
      </c>
      <c r="I166" s="8" t="s">
        <v>2414</v>
      </c>
      <c r="J166" s="16" t="s">
        <v>3897</v>
      </c>
      <c r="K166" s="16">
        <v>15272</v>
      </c>
      <c r="L166" s="8" t="s">
        <v>2420</v>
      </c>
      <c r="M166" s="8" t="s">
        <v>2585</v>
      </c>
      <c r="N166" s="8" t="s">
        <v>3372</v>
      </c>
      <c r="O166" s="8" t="s">
        <v>3378</v>
      </c>
      <c r="P166" s="8" t="s">
        <v>3453</v>
      </c>
      <c r="Q166" s="8">
        <v>1877.84</v>
      </c>
      <c r="R166" s="16">
        <v>9</v>
      </c>
      <c r="S166" s="21">
        <v>0.2</v>
      </c>
      <c r="T166" s="16">
        <v>420.63</v>
      </c>
    </row>
    <row r="167" spans="1:20" x14ac:dyDescent="0.3">
      <c r="A167" s="5" t="s">
        <v>185</v>
      </c>
      <c r="B167" s="12">
        <v>43281.855856481481</v>
      </c>
      <c r="C167" s="12">
        <v>43284.855855855843</v>
      </c>
      <c r="D167" s="6" t="s">
        <v>1021</v>
      </c>
      <c r="E167" s="6" t="s">
        <v>1187</v>
      </c>
      <c r="F167" s="6" t="s">
        <v>2108</v>
      </c>
      <c r="G167" s="6" t="s">
        <v>2408</v>
      </c>
      <c r="H167" s="6" t="s">
        <v>2409</v>
      </c>
      <c r="I167" s="6" t="s">
        <v>2414</v>
      </c>
      <c r="J167" s="15" t="s">
        <v>3891</v>
      </c>
      <c r="K167" s="15">
        <v>46710</v>
      </c>
      <c r="L167" s="6" t="s">
        <v>2420</v>
      </c>
      <c r="M167" s="6" t="s">
        <v>2586</v>
      </c>
      <c r="N167" s="6" t="s">
        <v>3373</v>
      </c>
      <c r="O167" s="6" t="s">
        <v>3385</v>
      </c>
      <c r="P167" s="6" t="s">
        <v>3529</v>
      </c>
      <c r="Q167" s="6">
        <v>2913.15</v>
      </c>
      <c r="R167" s="15">
        <v>3</v>
      </c>
      <c r="S167" s="20">
        <v>0.18</v>
      </c>
      <c r="T167" s="15">
        <v>582.54999999999995</v>
      </c>
    </row>
    <row r="168" spans="1:20" x14ac:dyDescent="0.3">
      <c r="A168" s="7" t="s">
        <v>186</v>
      </c>
      <c r="B168" s="13">
        <v>43282.951956018522</v>
      </c>
      <c r="C168" s="13">
        <v>43284.951951951953</v>
      </c>
      <c r="D168" s="8" t="s">
        <v>1022</v>
      </c>
      <c r="E168" s="8" t="s">
        <v>1188</v>
      </c>
      <c r="F168" s="8" t="s">
        <v>1977</v>
      </c>
      <c r="G168" s="8" t="s">
        <v>2406</v>
      </c>
      <c r="H168" s="8" t="s">
        <v>2409</v>
      </c>
      <c r="I168" s="8" t="s">
        <v>2411</v>
      </c>
      <c r="J168" s="16" t="s">
        <v>3894</v>
      </c>
      <c r="K168" s="16">
        <v>70595</v>
      </c>
      <c r="L168" s="8" t="s">
        <v>2420</v>
      </c>
      <c r="M168" s="8" t="s">
        <v>2587</v>
      </c>
      <c r="N168" s="8" t="s">
        <v>3372</v>
      </c>
      <c r="O168" s="8" t="s">
        <v>3376</v>
      </c>
      <c r="P168" s="8" t="s">
        <v>3415</v>
      </c>
      <c r="Q168" s="8">
        <v>2772.71</v>
      </c>
      <c r="R168" s="16">
        <v>8</v>
      </c>
      <c r="S168" s="21">
        <v>0.72</v>
      </c>
      <c r="T168" s="16">
        <v>797.34</v>
      </c>
    </row>
    <row r="169" spans="1:20" x14ac:dyDescent="0.3">
      <c r="A169" s="5" t="s">
        <v>187</v>
      </c>
      <c r="B169" s="12">
        <v>43284.048043981478</v>
      </c>
      <c r="C169" s="12">
        <v>43289.048048048047</v>
      </c>
      <c r="D169" s="6" t="s">
        <v>1020</v>
      </c>
      <c r="E169" s="6" t="s">
        <v>1189</v>
      </c>
      <c r="F169" s="6" t="s">
        <v>2109</v>
      </c>
      <c r="G169" s="6" t="s">
        <v>2407</v>
      </c>
      <c r="H169" s="6" t="s">
        <v>2409</v>
      </c>
      <c r="I169" s="6" t="s">
        <v>2413</v>
      </c>
      <c r="J169" s="15" t="s">
        <v>3891</v>
      </c>
      <c r="K169" s="15">
        <v>44896</v>
      </c>
      <c r="L169" s="6" t="s">
        <v>2420</v>
      </c>
      <c r="M169" s="6" t="s">
        <v>2588</v>
      </c>
      <c r="N169" s="6" t="s">
        <v>3372</v>
      </c>
      <c r="O169" s="6" t="s">
        <v>3376</v>
      </c>
      <c r="P169" s="6" t="s">
        <v>3530</v>
      </c>
      <c r="Q169" s="6">
        <v>3739.02</v>
      </c>
      <c r="R169" s="15">
        <v>12</v>
      </c>
      <c r="S169" s="20">
        <v>0.11</v>
      </c>
      <c r="T169" s="15">
        <v>1514.16</v>
      </c>
    </row>
    <row r="170" spans="1:20" x14ac:dyDescent="0.3">
      <c r="A170" s="7" t="s">
        <v>188</v>
      </c>
      <c r="B170" s="13">
        <v>43285.144143518519</v>
      </c>
      <c r="C170" s="13">
        <v>43291.144144144142</v>
      </c>
      <c r="D170" s="8" t="s">
        <v>1022</v>
      </c>
      <c r="E170" s="8" t="s">
        <v>1190</v>
      </c>
      <c r="F170" s="8" t="s">
        <v>2099</v>
      </c>
      <c r="G170" s="8" t="s">
        <v>2408</v>
      </c>
      <c r="H170" s="8" t="s">
        <v>2409</v>
      </c>
      <c r="I170" s="8" t="s">
        <v>2413</v>
      </c>
      <c r="J170" s="16" t="s">
        <v>3892</v>
      </c>
      <c r="K170" s="16">
        <v>83130</v>
      </c>
      <c r="L170" s="8" t="s">
        <v>2422</v>
      </c>
      <c r="M170" s="8" t="s">
        <v>2589</v>
      </c>
      <c r="N170" s="8" t="s">
        <v>3372</v>
      </c>
      <c r="O170" s="8" t="s">
        <v>3377</v>
      </c>
      <c r="P170" s="8" t="s">
        <v>3531</v>
      </c>
      <c r="Q170" s="8">
        <v>2900.33</v>
      </c>
      <c r="R170" s="16">
        <v>9</v>
      </c>
      <c r="S170" s="21">
        <v>0.02</v>
      </c>
      <c r="T170" s="16">
        <v>1668.54</v>
      </c>
    </row>
    <row r="171" spans="1:20" x14ac:dyDescent="0.3">
      <c r="A171" s="5" t="s">
        <v>189</v>
      </c>
      <c r="B171" s="12">
        <v>43286.240243055552</v>
      </c>
      <c r="C171" s="12">
        <v>43288.240240240229</v>
      </c>
      <c r="D171" s="6" t="s">
        <v>1022</v>
      </c>
      <c r="E171" s="6" t="s">
        <v>1191</v>
      </c>
      <c r="F171" s="6" t="s">
        <v>2110</v>
      </c>
      <c r="G171" s="6" t="s">
        <v>2407</v>
      </c>
      <c r="H171" s="6" t="s">
        <v>2409</v>
      </c>
      <c r="I171" s="6" t="s">
        <v>2415</v>
      </c>
      <c r="J171" s="15" t="s">
        <v>3895</v>
      </c>
      <c r="K171" s="15">
        <v>76707</v>
      </c>
      <c r="L171" s="6" t="s">
        <v>2422</v>
      </c>
      <c r="M171" s="6" t="s">
        <v>2590</v>
      </c>
      <c r="N171" s="6" t="s">
        <v>3371</v>
      </c>
      <c r="O171" s="6" t="s">
        <v>3382</v>
      </c>
      <c r="P171" s="6" t="s">
        <v>3532</v>
      </c>
      <c r="Q171" s="6">
        <v>1711.46</v>
      </c>
      <c r="R171" s="15">
        <v>9</v>
      </c>
      <c r="S171" s="20">
        <v>0.42</v>
      </c>
      <c r="T171" s="15">
        <v>-169.79</v>
      </c>
    </row>
    <row r="172" spans="1:20" x14ac:dyDescent="0.3">
      <c r="A172" s="7" t="s">
        <v>190</v>
      </c>
      <c r="B172" s="13">
        <v>43287.336331018516</v>
      </c>
      <c r="C172" s="13">
        <v>43292.336336336331</v>
      </c>
      <c r="D172" s="8" t="s">
        <v>1023</v>
      </c>
      <c r="E172" s="8" t="s">
        <v>1192</v>
      </c>
      <c r="F172" s="8" t="s">
        <v>2111</v>
      </c>
      <c r="G172" s="8" t="s">
        <v>2406</v>
      </c>
      <c r="H172" s="8" t="s">
        <v>2409</v>
      </c>
      <c r="I172" s="8" t="s">
        <v>2415</v>
      </c>
      <c r="J172" s="16" t="s">
        <v>3893</v>
      </c>
      <c r="K172" s="16">
        <v>51354</v>
      </c>
      <c r="L172" s="8" t="s">
        <v>2419</v>
      </c>
      <c r="M172" s="8" t="s">
        <v>2591</v>
      </c>
      <c r="N172" s="8" t="s">
        <v>3371</v>
      </c>
      <c r="O172" s="8" t="s">
        <v>3382</v>
      </c>
      <c r="P172" s="8" t="s">
        <v>3533</v>
      </c>
      <c r="Q172" s="8">
        <v>2110.7600000000002</v>
      </c>
      <c r="R172" s="16">
        <v>8</v>
      </c>
      <c r="S172" s="21">
        <v>0.71</v>
      </c>
      <c r="T172" s="16">
        <v>613.66999999999996</v>
      </c>
    </row>
    <row r="173" spans="1:20" x14ac:dyDescent="0.3">
      <c r="A173" s="5" t="s">
        <v>191</v>
      </c>
      <c r="B173" s="12">
        <v>43288.432430555556</v>
      </c>
      <c r="C173" s="12">
        <v>43294.432432432433</v>
      </c>
      <c r="D173" s="6" t="s">
        <v>1021</v>
      </c>
      <c r="E173" s="6" t="s">
        <v>1193</v>
      </c>
      <c r="F173" s="6" t="s">
        <v>2009</v>
      </c>
      <c r="G173" s="6" t="s">
        <v>2407</v>
      </c>
      <c r="H173" s="6" t="s">
        <v>2409</v>
      </c>
      <c r="I173" s="6" t="s">
        <v>2411</v>
      </c>
      <c r="J173" s="15" t="s">
        <v>3891</v>
      </c>
      <c r="K173" s="15">
        <v>25737</v>
      </c>
      <c r="L173" s="6" t="s">
        <v>2422</v>
      </c>
      <c r="M173" s="6" t="s">
        <v>2592</v>
      </c>
      <c r="N173" s="6" t="s">
        <v>3372</v>
      </c>
      <c r="O173" s="6" t="s">
        <v>3376</v>
      </c>
      <c r="P173" s="6" t="s">
        <v>3534</v>
      </c>
      <c r="Q173" s="6">
        <v>2779.45</v>
      </c>
      <c r="R173" s="15">
        <v>2</v>
      </c>
      <c r="S173" s="20">
        <v>0.74</v>
      </c>
      <c r="T173" s="15">
        <v>1077.8499999999999</v>
      </c>
    </row>
    <row r="174" spans="1:20" x14ac:dyDescent="0.3">
      <c r="A174" s="7" t="s">
        <v>192</v>
      </c>
      <c r="B174" s="13">
        <v>43289.52853009259</v>
      </c>
      <c r="C174" s="13">
        <v>43293.528528528521</v>
      </c>
      <c r="D174" s="8" t="s">
        <v>1023</v>
      </c>
      <c r="E174" s="8" t="s">
        <v>1194</v>
      </c>
      <c r="F174" s="8" t="s">
        <v>2112</v>
      </c>
      <c r="G174" s="8" t="s">
        <v>2407</v>
      </c>
      <c r="H174" s="8" t="s">
        <v>2409</v>
      </c>
      <c r="I174" s="8" t="s">
        <v>2410</v>
      </c>
      <c r="J174" s="16" t="s">
        <v>3893</v>
      </c>
      <c r="K174" s="16">
        <v>15502</v>
      </c>
      <c r="L174" s="8" t="s">
        <v>2422</v>
      </c>
      <c r="M174" s="8" t="s">
        <v>2593</v>
      </c>
      <c r="N174" s="8" t="s">
        <v>3371</v>
      </c>
      <c r="O174" s="8" t="s">
        <v>3375</v>
      </c>
      <c r="P174" s="8" t="s">
        <v>3535</v>
      </c>
      <c r="Q174" s="8">
        <v>3478.28</v>
      </c>
      <c r="R174" s="16">
        <v>4</v>
      </c>
      <c r="S174" s="21">
        <v>0.37</v>
      </c>
      <c r="T174" s="16">
        <v>1809.41</v>
      </c>
    </row>
    <row r="175" spans="1:20" x14ac:dyDescent="0.3">
      <c r="A175" s="5" t="s">
        <v>193</v>
      </c>
      <c r="B175" s="12">
        <v>43290.62462962963</v>
      </c>
      <c r="C175" s="12">
        <v>43291.624624624623</v>
      </c>
      <c r="D175" s="6" t="s">
        <v>1021</v>
      </c>
      <c r="E175" s="6" t="s">
        <v>1195</v>
      </c>
      <c r="F175" s="6" t="s">
        <v>2113</v>
      </c>
      <c r="G175" s="6" t="s">
        <v>2406</v>
      </c>
      <c r="H175" s="6" t="s">
        <v>2409</v>
      </c>
      <c r="I175" s="6" t="s">
        <v>2410</v>
      </c>
      <c r="J175" s="15" t="s">
        <v>3897</v>
      </c>
      <c r="K175" s="15">
        <v>70162</v>
      </c>
      <c r="L175" s="6" t="s">
        <v>2419</v>
      </c>
      <c r="M175" s="6" t="s">
        <v>2594</v>
      </c>
      <c r="N175" s="6" t="s">
        <v>3373</v>
      </c>
      <c r="O175" s="6" t="s">
        <v>3385</v>
      </c>
      <c r="P175" s="6" t="s">
        <v>3536</v>
      </c>
      <c r="Q175" s="6">
        <v>1225.44</v>
      </c>
      <c r="R175" s="15">
        <v>14</v>
      </c>
      <c r="S175" s="20">
        <v>0.3</v>
      </c>
      <c r="T175" s="15">
        <v>318.89</v>
      </c>
    </row>
    <row r="176" spans="1:20" x14ac:dyDescent="0.3">
      <c r="A176" s="7" t="s">
        <v>194</v>
      </c>
      <c r="B176" s="13">
        <v>43291.720717592594</v>
      </c>
      <c r="C176" s="13">
        <v>43297.720720720718</v>
      </c>
      <c r="D176" s="8" t="s">
        <v>1021</v>
      </c>
      <c r="E176" s="8" t="s">
        <v>1196</v>
      </c>
      <c r="F176" s="8" t="s">
        <v>2114</v>
      </c>
      <c r="G176" s="8" t="s">
        <v>2406</v>
      </c>
      <c r="H176" s="8" t="s">
        <v>2409</v>
      </c>
      <c r="I176" s="8" t="s">
        <v>2416</v>
      </c>
      <c r="J176" s="16" t="s">
        <v>3895</v>
      </c>
      <c r="K176" s="16">
        <v>46951</v>
      </c>
      <c r="L176" s="8" t="s">
        <v>2419</v>
      </c>
      <c r="M176" s="8" t="s">
        <v>2595</v>
      </c>
      <c r="N176" s="8" t="s">
        <v>3371</v>
      </c>
      <c r="O176" s="8" t="s">
        <v>3382</v>
      </c>
      <c r="P176" s="8" t="s">
        <v>3537</v>
      </c>
      <c r="Q176" s="8">
        <v>2231.9</v>
      </c>
      <c r="R176" s="16">
        <v>2</v>
      </c>
      <c r="S176" s="21">
        <v>0.34</v>
      </c>
      <c r="T176" s="16">
        <v>22.29</v>
      </c>
    </row>
    <row r="177" spans="1:20" x14ac:dyDescent="0.3">
      <c r="A177" s="5" t="s">
        <v>195</v>
      </c>
      <c r="B177" s="12">
        <v>43292.816817129627</v>
      </c>
      <c r="C177" s="12">
        <v>43295.816816816798</v>
      </c>
      <c r="D177" s="6" t="s">
        <v>1022</v>
      </c>
      <c r="E177" s="6" t="s">
        <v>1197</v>
      </c>
      <c r="F177" s="6" t="s">
        <v>2115</v>
      </c>
      <c r="G177" s="6" t="s">
        <v>2408</v>
      </c>
      <c r="H177" s="6" t="s">
        <v>2409</v>
      </c>
      <c r="I177" s="6" t="s">
        <v>2410</v>
      </c>
      <c r="J177" s="15" t="s">
        <v>3891</v>
      </c>
      <c r="K177" s="15">
        <v>58496</v>
      </c>
      <c r="L177" s="6" t="s">
        <v>2422</v>
      </c>
      <c r="M177" s="6" t="s">
        <v>2596</v>
      </c>
      <c r="N177" s="6" t="s">
        <v>3371</v>
      </c>
      <c r="O177" s="6" t="s">
        <v>3374</v>
      </c>
      <c r="P177" s="6" t="s">
        <v>3538</v>
      </c>
      <c r="Q177" s="6">
        <v>3383.23</v>
      </c>
      <c r="R177" s="15">
        <v>2</v>
      </c>
      <c r="S177" s="20">
        <v>0.59</v>
      </c>
      <c r="T177" s="15">
        <v>1896.5</v>
      </c>
    </row>
    <row r="178" spans="1:20" x14ac:dyDescent="0.3">
      <c r="A178" s="7" t="s">
        <v>196</v>
      </c>
      <c r="B178" s="13">
        <v>43293.912916666668</v>
      </c>
      <c r="C178" s="13">
        <v>43298.912912912907</v>
      </c>
      <c r="D178" s="8" t="s">
        <v>1021</v>
      </c>
      <c r="E178" s="8" t="s">
        <v>1198</v>
      </c>
      <c r="F178" s="8" t="s">
        <v>2065</v>
      </c>
      <c r="G178" s="8" t="s">
        <v>2406</v>
      </c>
      <c r="H178" s="8" t="s">
        <v>2409</v>
      </c>
      <c r="I178" s="8" t="s">
        <v>2415</v>
      </c>
      <c r="J178" s="16" t="s">
        <v>3893</v>
      </c>
      <c r="K178" s="16">
        <v>60225</v>
      </c>
      <c r="L178" s="8" t="s">
        <v>2421</v>
      </c>
      <c r="M178" s="8" t="s">
        <v>2597</v>
      </c>
      <c r="N178" s="8" t="s">
        <v>3373</v>
      </c>
      <c r="O178" s="8" t="s">
        <v>3381</v>
      </c>
      <c r="P178" s="8" t="s">
        <v>3539</v>
      </c>
      <c r="Q178" s="8">
        <v>4071.32</v>
      </c>
      <c r="R178" s="16">
        <v>2</v>
      </c>
      <c r="S178" s="21">
        <v>0.64</v>
      </c>
      <c r="T178" s="16">
        <v>374.43</v>
      </c>
    </row>
    <row r="179" spans="1:20" x14ac:dyDescent="0.3">
      <c r="A179" s="5" t="s">
        <v>197</v>
      </c>
      <c r="B179" s="12">
        <v>43295.009004629632</v>
      </c>
      <c r="C179" s="12">
        <v>43298.009009009002</v>
      </c>
      <c r="D179" s="6" t="s">
        <v>1021</v>
      </c>
      <c r="E179" s="6" t="s">
        <v>1199</v>
      </c>
      <c r="F179" s="6" t="s">
        <v>2116</v>
      </c>
      <c r="G179" s="6" t="s">
        <v>2407</v>
      </c>
      <c r="H179" s="6" t="s">
        <v>2409</v>
      </c>
      <c r="I179" s="6" t="s">
        <v>2416</v>
      </c>
      <c r="J179" s="15" t="s">
        <v>2410</v>
      </c>
      <c r="K179" s="15">
        <v>27268</v>
      </c>
      <c r="L179" s="6" t="s">
        <v>2422</v>
      </c>
      <c r="M179" s="6" t="s">
        <v>2598</v>
      </c>
      <c r="N179" s="6" t="s">
        <v>3373</v>
      </c>
      <c r="O179" s="6" t="s">
        <v>3379</v>
      </c>
      <c r="P179" s="6" t="s">
        <v>3540</v>
      </c>
      <c r="Q179" s="6">
        <v>1804.88</v>
      </c>
      <c r="R179" s="15">
        <v>14</v>
      </c>
      <c r="S179" s="20">
        <v>0.66</v>
      </c>
      <c r="T179" s="15">
        <v>383.83</v>
      </c>
    </row>
    <row r="180" spans="1:20" x14ac:dyDescent="0.3">
      <c r="A180" s="7" t="s">
        <v>198</v>
      </c>
      <c r="B180" s="13">
        <v>43296.105104166665</v>
      </c>
      <c r="C180" s="13">
        <v>43302.105105105104</v>
      </c>
      <c r="D180" s="8" t="s">
        <v>1021</v>
      </c>
      <c r="E180" s="8" t="s">
        <v>1200</v>
      </c>
      <c r="F180" s="8" t="s">
        <v>2028</v>
      </c>
      <c r="G180" s="8" t="s">
        <v>2406</v>
      </c>
      <c r="H180" s="8" t="s">
        <v>2409</v>
      </c>
      <c r="I180" s="8" t="s">
        <v>2410</v>
      </c>
      <c r="J180" s="16" t="s">
        <v>3893</v>
      </c>
      <c r="K180" s="16">
        <v>78732</v>
      </c>
      <c r="L180" s="8" t="s">
        <v>2420</v>
      </c>
      <c r="M180" s="8" t="s">
        <v>2599</v>
      </c>
      <c r="N180" s="8" t="s">
        <v>3372</v>
      </c>
      <c r="O180" s="8" t="s">
        <v>3384</v>
      </c>
      <c r="P180" s="8" t="s">
        <v>3541</v>
      </c>
      <c r="Q180" s="8">
        <v>3380.76</v>
      </c>
      <c r="R180" s="16">
        <v>5</v>
      </c>
      <c r="S180" s="21">
        <v>0.47</v>
      </c>
      <c r="T180" s="16">
        <v>1798.73</v>
      </c>
    </row>
    <row r="181" spans="1:20" x14ac:dyDescent="0.3">
      <c r="A181" s="5" t="s">
        <v>199</v>
      </c>
      <c r="B181" s="12">
        <v>43297.201203703706</v>
      </c>
      <c r="C181" s="12">
        <v>43299.201201201191</v>
      </c>
      <c r="D181" s="6" t="s">
        <v>1023</v>
      </c>
      <c r="E181" s="6" t="s">
        <v>1201</v>
      </c>
      <c r="F181" s="6" t="s">
        <v>2117</v>
      </c>
      <c r="G181" s="6" t="s">
        <v>2407</v>
      </c>
      <c r="H181" s="6" t="s">
        <v>2409</v>
      </c>
      <c r="I181" s="6" t="s">
        <v>2414</v>
      </c>
      <c r="J181" s="15" t="s">
        <v>3893</v>
      </c>
      <c r="K181" s="15">
        <v>39223</v>
      </c>
      <c r="L181" s="6" t="s">
        <v>2419</v>
      </c>
      <c r="M181" s="6" t="s">
        <v>2600</v>
      </c>
      <c r="N181" s="6" t="s">
        <v>3373</v>
      </c>
      <c r="O181" s="6" t="s">
        <v>3381</v>
      </c>
      <c r="P181" s="6" t="s">
        <v>3404</v>
      </c>
      <c r="Q181" s="6">
        <v>1665.27</v>
      </c>
      <c r="R181" s="15">
        <v>4</v>
      </c>
      <c r="S181" s="20">
        <v>0.35</v>
      </c>
      <c r="T181" s="15">
        <v>782.49</v>
      </c>
    </row>
    <row r="182" spans="1:20" x14ac:dyDescent="0.3">
      <c r="A182" s="7" t="s">
        <v>200</v>
      </c>
      <c r="B182" s="13">
        <v>43298.297291666669</v>
      </c>
      <c r="C182" s="13">
        <v>43302.297297297293</v>
      </c>
      <c r="D182" s="8" t="s">
        <v>1020</v>
      </c>
      <c r="E182" s="8" t="s">
        <v>1202</v>
      </c>
      <c r="F182" s="8" t="s">
        <v>2118</v>
      </c>
      <c r="G182" s="8" t="s">
        <v>2406</v>
      </c>
      <c r="H182" s="8" t="s">
        <v>2409</v>
      </c>
      <c r="I182" s="8" t="s">
        <v>2411</v>
      </c>
      <c r="J182" s="16" t="s">
        <v>3895</v>
      </c>
      <c r="K182" s="16">
        <v>82217</v>
      </c>
      <c r="L182" s="8" t="s">
        <v>2421</v>
      </c>
      <c r="M182" s="8" t="s">
        <v>2601</v>
      </c>
      <c r="N182" s="8" t="s">
        <v>3371</v>
      </c>
      <c r="O182" s="8" t="s">
        <v>3374</v>
      </c>
      <c r="P182" s="8" t="s">
        <v>3542</v>
      </c>
      <c r="Q182" s="8">
        <v>4416.2700000000004</v>
      </c>
      <c r="R182" s="16">
        <v>10</v>
      </c>
      <c r="S182" s="21">
        <v>0.02</v>
      </c>
      <c r="T182" s="16">
        <v>-877.61</v>
      </c>
    </row>
    <row r="183" spans="1:20" x14ac:dyDescent="0.3">
      <c r="A183" s="5" t="s">
        <v>201</v>
      </c>
      <c r="B183" s="12">
        <v>43299.393391203703</v>
      </c>
      <c r="C183" s="12">
        <v>43303.393393393388</v>
      </c>
      <c r="D183" s="6" t="s">
        <v>1022</v>
      </c>
      <c r="E183" s="6" t="s">
        <v>1203</v>
      </c>
      <c r="F183" s="6" t="s">
        <v>2119</v>
      </c>
      <c r="G183" s="6" t="s">
        <v>2408</v>
      </c>
      <c r="H183" s="6" t="s">
        <v>2409</v>
      </c>
      <c r="I183" s="6" t="s">
        <v>2417</v>
      </c>
      <c r="J183" s="15" t="s">
        <v>3891</v>
      </c>
      <c r="K183" s="15">
        <v>64843</v>
      </c>
      <c r="L183" s="6" t="s">
        <v>2420</v>
      </c>
      <c r="M183" s="6" t="s">
        <v>2602</v>
      </c>
      <c r="N183" s="6" t="s">
        <v>3371</v>
      </c>
      <c r="O183" s="6" t="s">
        <v>3374</v>
      </c>
      <c r="P183" s="6" t="s">
        <v>3543</v>
      </c>
      <c r="Q183" s="6">
        <v>1742.4</v>
      </c>
      <c r="R183" s="15">
        <v>14</v>
      </c>
      <c r="S183" s="20">
        <v>0.17</v>
      </c>
      <c r="T183" s="15">
        <v>1033.8900000000001</v>
      </c>
    </row>
    <row r="184" spans="1:20" x14ac:dyDescent="0.3">
      <c r="A184" s="7" t="s">
        <v>202</v>
      </c>
      <c r="B184" s="13">
        <v>43300.489490740743</v>
      </c>
      <c r="C184" s="13">
        <v>43304.489489489482</v>
      </c>
      <c r="D184" s="8" t="s">
        <v>1022</v>
      </c>
      <c r="E184" s="8" t="s">
        <v>1204</v>
      </c>
      <c r="F184" s="8" t="s">
        <v>2120</v>
      </c>
      <c r="G184" s="8" t="s">
        <v>2407</v>
      </c>
      <c r="H184" s="8" t="s">
        <v>2409</v>
      </c>
      <c r="I184" s="8" t="s">
        <v>2410</v>
      </c>
      <c r="J184" s="16" t="s">
        <v>3894</v>
      </c>
      <c r="K184" s="16">
        <v>85943</v>
      </c>
      <c r="L184" s="8" t="s">
        <v>2422</v>
      </c>
      <c r="M184" s="8" t="s">
        <v>2603</v>
      </c>
      <c r="N184" s="8" t="s">
        <v>3372</v>
      </c>
      <c r="O184" s="8" t="s">
        <v>3384</v>
      </c>
      <c r="P184" s="8" t="s">
        <v>3544</v>
      </c>
      <c r="Q184" s="8">
        <v>194.5</v>
      </c>
      <c r="R184" s="16">
        <v>9</v>
      </c>
      <c r="S184" s="21">
        <v>0.25</v>
      </c>
      <c r="T184" s="16">
        <v>106.54</v>
      </c>
    </row>
    <row r="185" spans="1:20" x14ac:dyDescent="0.3">
      <c r="A185" s="5" t="s">
        <v>203</v>
      </c>
      <c r="B185" s="12">
        <v>43301.585590277777</v>
      </c>
      <c r="C185" s="12">
        <v>43304.585585585577</v>
      </c>
      <c r="D185" s="6" t="s">
        <v>1023</v>
      </c>
      <c r="E185" s="6" t="s">
        <v>1205</v>
      </c>
      <c r="F185" s="6" t="s">
        <v>2032</v>
      </c>
      <c r="G185" s="6" t="s">
        <v>2408</v>
      </c>
      <c r="H185" s="6" t="s">
        <v>2409</v>
      </c>
      <c r="I185" s="6" t="s">
        <v>2418</v>
      </c>
      <c r="J185" s="15" t="s">
        <v>3891</v>
      </c>
      <c r="K185" s="15">
        <v>30564</v>
      </c>
      <c r="L185" s="6" t="s">
        <v>2419</v>
      </c>
      <c r="M185" s="6" t="s">
        <v>2604</v>
      </c>
      <c r="N185" s="6" t="s">
        <v>3373</v>
      </c>
      <c r="O185" s="6" t="s">
        <v>3380</v>
      </c>
      <c r="P185" s="6" t="s">
        <v>3507</v>
      </c>
      <c r="Q185" s="6">
        <v>1559.25</v>
      </c>
      <c r="R185" s="15">
        <v>9</v>
      </c>
      <c r="S185" s="20">
        <v>0.33</v>
      </c>
      <c r="T185" s="15">
        <v>363.84</v>
      </c>
    </row>
    <row r="186" spans="1:20" x14ac:dyDescent="0.3">
      <c r="A186" s="7" t="s">
        <v>204</v>
      </c>
      <c r="B186" s="13">
        <v>43302.68167824074</v>
      </c>
      <c r="C186" s="13">
        <v>43308.681681681679</v>
      </c>
      <c r="D186" s="8" t="s">
        <v>1021</v>
      </c>
      <c r="E186" s="8" t="s">
        <v>1206</v>
      </c>
      <c r="F186" s="8" t="s">
        <v>2048</v>
      </c>
      <c r="G186" s="8" t="s">
        <v>2407</v>
      </c>
      <c r="H186" s="8" t="s">
        <v>2409</v>
      </c>
      <c r="I186" s="8" t="s">
        <v>2413</v>
      </c>
      <c r="J186" s="16" t="s">
        <v>3894</v>
      </c>
      <c r="K186" s="16">
        <v>69885</v>
      </c>
      <c r="L186" s="8" t="s">
        <v>2420</v>
      </c>
      <c r="M186" s="8" t="s">
        <v>2605</v>
      </c>
      <c r="N186" s="8" t="s">
        <v>3373</v>
      </c>
      <c r="O186" s="8" t="s">
        <v>3381</v>
      </c>
      <c r="P186" s="8" t="s">
        <v>3545</v>
      </c>
      <c r="Q186" s="8">
        <v>1928.69</v>
      </c>
      <c r="R186" s="16">
        <v>14</v>
      </c>
      <c r="S186" s="21">
        <v>0.47</v>
      </c>
      <c r="T186" s="16">
        <v>1121.71</v>
      </c>
    </row>
    <row r="187" spans="1:20" x14ac:dyDescent="0.3">
      <c r="A187" s="5" t="s">
        <v>205</v>
      </c>
      <c r="B187" s="12">
        <v>43303.777777777781</v>
      </c>
      <c r="C187" s="12">
        <v>43307.777777777781</v>
      </c>
      <c r="D187" s="6" t="s">
        <v>1022</v>
      </c>
      <c r="E187" s="6" t="s">
        <v>1207</v>
      </c>
      <c r="F187" s="6" t="s">
        <v>2040</v>
      </c>
      <c r="G187" s="6" t="s">
        <v>2407</v>
      </c>
      <c r="H187" s="6" t="s">
        <v>2409</v>
      </c>
      <c r="I187" s="6" t="s">
        <v>2417</v>
      </c>
      <c r="J187" s="15" t="s">
        <v>3895</v>
      </c>
      <c r="K187" s="15">
        <v>79233</v>
      </c>
      <c r="L187" s="6" t="s">
        <v>2421</v>
      </c>
      <c r="M187" s="6" t="s">
        <v>2606</v>
      </c>
      <c r="N187" s="6" t="s">
        <v>3372</v>
      </c>
      <c r="O187" s="6" t="s">
        <v>3376</v>
      </c>
      <c r="P187" s="6" t="s">
        <v>3446</v>
      </c>
      <c r="Q187" s="6">
        <v>4671.05</v>
      </c>
      <c r="R187" s="15">
        <v>11</v>
      </c>
      <c r="S187" s="20">
        <v>0.57999999999999996</v>
      </c>
      <c r="T187" s="15">
        <v>1527.2</v>
      </c>
    </row>
    <row r="188" spans="1:20" x14ac:dyDescent="0.3">
      <c r="A188" s="7" t="s">
        <v>206</v>
      </c>
      <c r="B188" s="13">
        <v>43304.873877314814</v>
      </c>
      <c r="C188" s="13">
        <v>43309.873873873868</v>
      </c>
      <c r="D188" s="8" t="s">
        <v>1022</v>
      </c>
      <c r="E188" s="8" t="s">
        <v>1208</v>
      </c>
      <c r="F188" s="8" t="s">
        <v>2077</v>
      </c>
      <c r="G188" s="8" t="s">
        <v>2406</v>
      </c>
      <c r="H188" s="8" t="s">
        <v>2409</v>
      </c>
      <c r="I188" s="8" t="s">
        <v>2413</v>
      </c>
      <c r="J188" s="16" t="s">
        <v>3892</v>
      </c>
      <c r="K188" s="16">
        <v>89366</v>
      </c>
      <c r="L188" s="8" t="s">
        <v>2420</v>
      </c>
      <c r="M188" s="8" t="s">
        <v>2607</v>
      </c>
      <c r="N188" s="8" t="s">
        <v>3371</v>
      </c>
      <c r="O188" s="8" t="s">
        <v>3374</v>
      </c>
      <c r="P188" s="8" t="s">
        <v>3546</v>
      </c>
      <c r="Q188" s="8">
        <v>4239.17</v>
      </c>
      <c r="R188" s="16">
        <v>11</v>
      </c>
      <c r="S188" s="21">
        <v>0.56000000000000005</v>
      </c>
      <c r="T188" s="16">
        <v>-606.30999999999995</v>
      </c>
    </row>
    <row r="189" spans="1:20" x14ac:dyDescent="0.3">
      <c r="A189" s="5" t="s">
        <v>207</v>
      </c>
      <c r="B189" s="12">
        <v>43305.969965277778</v>
      </c>
      <c r="C189" s="12">
        <v>43308.969969969963</v>
      </c>
      <c r="D189" s="6" t="s">
        <v>1020</v>
      </c>
      <c r="E189" s="6" t="s">
        <v>1209</v>
      </c>
      <c r="F189" s="6" t="s">
        <v>2121</v>
      </c>
      <c r="G189" s="6" t="s">
        <v>2407</v>
      </c>
      <c r="H189" s="6" t="s">
        <v>2409</v>
      </c>
      <c r="I189" s="6" t="s">
        <v>2412</v>
      </c>
      <c r="J189" s="15" t="s">
        <v>3897</v>
      </c>
      <c r="K189" s="15">
        <v>91041</v>
      </c>
      <c r="L189" s="6" t="s">
        <v>2420</v>
      </c>
      <c r="M189" s="6" t="s">
        <v>2608</v>
      </c>
      <c r="N189" s="6" t="s">
        <v>3371</v>
      </c>
      <c r="O189" s="6" t="s">
        <v>3375</v>
      </c>
      <c r="P189" s="6" t="s">
        <v>3547</v>
      </c>
      <c r="Q189" s="6">
        <v>3099.56</v>
      </c>
      <c r="R189" s="15">
        <v>3</v>
      </c>
      <c r="S189" s="20">
        <v>0.48</v>
      </c>
      <c r="T189" s="15">
        <v>-9.85</v>
      </c>
    </row>
    <row r="190" spans="1:20" x14ac:dyDescent="0.3">
      <c r="A190" s="7" t="s">
        <v>208</v>
      </c>
      <c r="B190" s="13">
        <v>43307.066064814811</v>
      </c>
      <c r="C190" s="13">
        <v>43313.066066066072</v>
      </c>
      <c r="D190" s="8" t="s">
        <v>1023</v>
      </c>
      <c r="E190" s="8" t="s">
        <v>1210</v>
      </c>
      <c r="F190" s="8" t="s">
        <v>2122</v>
      </c>
      <c r="G190" s="8" t="s">
        <v>2408</v>
      </c>
      <c r="H190" s="8" t="s">
        <v>2409</v>
      </c>
      <c r="I190" s="8" t="s">
        <v>2411</v>
      </c>
      <c r="J190" s="16" t="s">
        <v>3898</v>
      </c>
      <c r="K190" s="16">
        <v>90907</v>
      </c>
      <c r="L190" s="8" t="s">
        <v>2420</v>
      </c>
      <c r="M190" s="8" t="s">
        <v>2609</v>
      </c>
      <c r="N190" s="8" t="s">
        <v>3373</v>
      </c>
      <c r="O190" s="8" t="s">
        <v>3380</v>
      </c>
      <c r="P190" s="8" t="s">
        <v>3548</v>
      </c>
      <c r="Q190" s="8">
        <v>4182.88</v>
      </c>
      <c r="R190" s="16">
        <v>1</v>
      </c>
      <c r="S190" s="21">
        <v>0.52</v>
      </c>
      <c r="T190" s="16">
        <v>732.51</v>
      </c>
    </row>
    <row r="191" spans="1:20" x14ac:dyDescent="0.3">
      <c r="A191" s="5" t="s">
        <v>209</v>
      </c>
      <c r="B191" s="12">
        <v>43308.162164351852</v>
      </c>
      <c r="C191" s="12">
        <v>43312.162162162153</v>
      </c>
      <c r="D191" s="6" t="s">
        <v>1020</v>
      </c>
      <c r="E191" s="6" t="s">
        <v>1211</v>
      </c>
      <c r="F191" s="6" t="s">
        <v>2123</v>
      </c>
      <c r="G191" s="6" t="s">
        <v>2408</v>
      </c>
      <c r="H191" s="6" t="s">
        <v>2409</v>
      </c>
      <c r="I191" s="6" t="s">
        <v>2413</v>
      </c>
      <c r="J191" s="15" t="s">
        <v>3895</v>
      </c>
      <c r="K191" s="15">
        <v>13621</v>
      </c>
      <c r="L191" s="6" t="s">
        <v>2420</v>
      </c>
      <c r="M191" s="6" t="s">
        <v>2610</v>
      </c>
      <c r="N191" s="6" t="s">
        <v>3373</v>
      </c>
      <c r="O191" s="6" t="s">
        <v>3385</v>
      </c>
      <c r="P191" s="6" t="s">
        <v>3549</v>
      </c>
      <c r="Q191" s="6">
        <v>58.5</v>
      </c>
      <c r="R191" s="15">
        <v>12</v>
      </c>
      <c r="S191" s="20">
        <v>0.43</v>
      </c>
      <c r="T191" s="15">
        <v>21.55</v>
      </c>
    </row>
    <row r="192" spans="1:20" x14ac:dyDescent="0.3">
      <c r="A192" s="7" t="s">
        <v>210</v>
      </c>
      <c r="B192" s="13">
        <v>43309.258263888885</v>
      </c>
      <c r="C192" s="13">
        <v>43311.258258258247</v>
      </c>
      <c r="D192" s="8" t="s">
        <v>1023</v>
      </c>
      <c r="E192" s="8" t="s">
        <v>1212</v>
      </c>
      <c r="F192" s="8" t="s">
        <v>2053</v>
      </c>
      <c r="G192" s="8" t="s">
        <v>2407</v>
      </c>
      <c r="H192" s="8" t="s">
        <v>2409</v>
      </c>
      <c r="I192" s="8" t="s">
        <v>2416</v>
      </c>
      <c r="J192" s="16" t="s">
        <v>2410</v>
      </c>
      <c r="K192" s="16">
        <v>88684</v>
      </c>
      <c r="L192" s="8" t="s">
        <v>2420</v>
      </c>
      <c r="M192" s="8" t="s">
        <v>2611</v>
      </c>
      <c r="N192" s="8" t="s">
        <v>3372</v>
      </c>
      <c r="O192" s="8" t="s">
        <v>3384</v>
      </c>
      <c r="P192" s="8" t="s">
        <v>3550</v>
      </c>
      <c r="Q192" s="8">
        <v>4051.88</v>
      </c>
      <c r="R192" s="16">
        <v>14</v>
      </c>
      <c r="S192" s="21">
        <v>0.08</v>
      </c>
      <c r="T192" s="16">
        <v>1963.66</v>
      </c>
    </row>
    <row r="193" spans="1:20" x14ac:dyDescent="0.3">
      <c r="A193" s="5" t="s">
        <v>211</v>
      </c>
      <c r="B193" s="12">
        <v>43310.354351851849</v>
      </c>
      <c r="C193" s="12">
        <v>43316.354354354349</v>
      </c>
      <c r="D193" s="6" t="s">
        <v>1020</v>
      </c>
      <c r="E193" s="6" t="s">
        <v>1213</v>
      </c>
      <c r="F193" s="6" t="s">
        <v>2124</v>
      </c>
      <c r="G193" s="6" t="s">
        <v>2406</v>
      </c>
      <c r="H193" s="6" t="s">
        <v>2409</v>
      </c>
      <c r="I193" s="6" t="s">
        <v>2414</v>
      </c>
      <c r="J193" s="15" t="s">
        <v>3896</v>
      </c>
      <c r="K193" s="15">
        <v>33135</v>
      </c>
      <c r="L193" s="6" t="s">
        <v>2420</v>
      </c>
      <c r="M193" s="6" t="s">
        <v>2612</v>
      </c>
      <c r="N193" s="6" t="s">
        <v>3371</v>
      </c>
      <c r="O193" s="6" t="s">
        <v>3374</v>
      </c>
      <c r="P193" s="6" t="s">
        <v>3519</v>
      </c>
      <c r="Q193" s="6">
        <v>3679.87</v>
      </c>
      <c r="R193" s="15">
        <v>10</v>
      </c>
      <c r="S193" s="20">
        <v>0.59</v>
      </c>
      <c r="T193" s="15">
        <v>1457.63</v>
      </c>
    </row>
    <row r="194" spans="1:20" x14ac:dyDescent="0.3">
      <c r="A194" s="7" t="s">
        <v>212</v>
      </c>
      <c r="B194" s="13">
        <v>43311.45045138889</v>
      </c>
      <c r="C194" s="13">
        <v>43313.450450450437</v>
      </c>
      <c r="D194" s="8" t="s">
        <v>1020</v>
      </c>
      <c r="E194" s="8" t="s">
        <v>1214</v>
      </c>
      <c r="F194" s="8" t="s">
        <v>2125</v>
      </c>
      <c r="G194" s="8" t="s">
        <v>2406</v>
      </c>
      <c r="H194" s="8" t="s">
        <v>2409</v>
      </c>
      <c r="I194" s="8" t="s">
        <v>2414</v>
      </c>
      <c r="J194" s="16" t="s">
        <v>3896</v>
      </c>
      <c r="K194" s="16">
        <v>37582</v>
      </c>
      <c r="L194" s="8" t="s">
        <v>2420</v>
      </c>
      <c r="M194" s="8" t="s">
        <v>2613</v>
      </c>
      <c r="N194" s="8" t="s">
        <v>3373</v>
      </c>
      <c r="O194" s="8" t="s">
        <v>3385</v>
      </c>
      <c r="P194" s="8" t="s">
        <v>3551</v>
      </c>
      <c r="Q194" s="8">
        <v>1240.5999999999999</v>
      </c>
      <c r="R194" s="16">
        <v>13</v>
      </c>
      <c r="S194" s="21">
        <v>0.04</v>
      </c>
      <c r="T194" s="16">
        <v>-28.98</v>
      </c>
    </row>
    <row r="195" spans="1:20" x14ac:dyDescent="0.3">
      <c r="A195" s="5" t="s">
        <v>213</v>
      </c>
      <c r="B195" s="12">
        <v>43312.546550925923</v>
      </c>
      <c r="C195" s="12">
        <v>43316.546546546539</v>
      </c>
      <c r="D195" s="6" t="s">
        <v>1020</v>
      </c>
      <c r="E195" s="6" t="s">
        <v>1215</v>
      </c>
      <c r="F195" s="6" t="s">
        <v>2126</v>
      </c>
      <c r="G195" s="6" t="s">
        <v>2406</v>
      </c>
      <c r="H195" s="6" t="s">
        <v>2409</v>
      </c>
      <c r="I195" s="6" t="s">
        <v>2412</v>
      </c>
      <c r="J195" s="15" t="s">
        <v>3898</v>
      </c>
      <c r="K195" s="15">
        <v>22305</v>
      </c>
      <c r="L195" s="6" t="s">
        <v>2422</v>
      </c>
      <c r="M195" s="6" t="s">
        <v>2614</v>
      </c>
      <c r="N195" s="6" t="s">
        <v>3371</v>
      </c>
      <c r="O195" s="6" t="s">
        <v>3382</v>
      </c>
      <c r="P195" s="6" t="s">
        <v>3517</v>
      </c>
      <c r="Q195" s="6">
        <v>237.71</v>
      </c>
      <c r="R195" s="15">
        <v>13</v>
      </c>
      <c r="S195" s="20">
        <v>0.57999999999999996</v>
      </c>
      <c r="T195" s="15">
        <v>-15.67</v>
      </c>
    </row>
    <row r="196" spans="1:20" x14ac:dyDescent="0.3">
      <c r="A196" s="7" t="s">
        <v>214</v>
      </c>
      <c r="B196" s="13">
        <v>43313.642638888887</v>
      </c>
      <c r="C196" s="13">
        <v>43316.642642642641</v>
      </c>
      <c r="D196" s="8" t="s">
        <v>1023</v>
      </c>
      <c r="E196" s="8" t="s">
        <v>1216</v>
      </c>
      <c r="F196" s="8" t="s">
        <v>2127</v>
      </c>
      <c r="G196" s="8" t="s">
        <v>2408</v>
      </c>
      <c r="H196" s="8" t="s">
        <v>2409</v>
      </c>
      <c r="I196" s="8" t="s">
        <v>2417</v>
      </c>
      <c r="J196" s="16" t="s">
        <v>3896</v>
      </c>
      <c r="K196" s="16">
        <v>16373</v>
      </c>
      <c r="L196" s="8" t="s">
        <v>2420</v>
      </c>
      <c r="M196" s="8" t="s">
        <v>2615</v>
      </c>
      <c r="N196" s="8" t="s">
        <v>3371</v>
      </c>
      <c r="O196" s="8" t="s">
        <v>3374</v>
      </c>
      <c r="P196" s="8" t="s">
        <v>3413</v>
      </c>
      <c r="Q196" s="8">
        <v>1337.92</v>
      </c>
      <c r="R196" s="16">
        <v>6</v>
      </c>
      <c r="S196" s="21">
        <v>0.6</v>
      </c>
      <c r="T196" s="16">
        <v>319.35000000000002</v>
      </c>
    </row>
    <row r="197" spans="1:20" x14ac:dyDescent="0.3">
      <c r="A197" s="5" t="s">
        <v>215</v>
      </c>
      <c r="B197" s="12">
        <v>43314.738738425927</v>
      </c>
      <c r="C197" s="12">
        <v>43320.738738738743</v>
      </c>
      <c r="D197" s="6" t="s">
        <v>1020</v>
      </c>
      <c r="E197" s="6" t="s">
        <v>1217</v>
      </c>
      <c r="F197" s="6" t="s">
        <v>2118</v>
      </c>
      <c r="G197" s="6" t="s">
        <v>2407</v>
      </c>
      <c r="H197" s="6" t="s">
        <v>2409</v>
      </c>
      <c r="I197" s="6" t="s">
        <v>2413</v>
      </c>
      <c r="J197" s="15" t="s">
        <v>3896</v>
      </c>
      <c r="K197" s="15">
        <v>45133</v>
      </c>
      <c r="L197" s="6" t="s">
        <v>2422</v>
      </c>
      <c r="M197" s="6" t="s">
        <v>2616</v>
      </c>
      <c r="N197" s="6" t="s">
        <v>3371</v>
      </c>
      <c r="O197" s="6" t="s">
        <v>3383</v>
      </c>
      <c r="P197" s="6" t="s">
        <v>3534</v>
      </c>
      <c r="Q197" s="6">
        <v>3090.54</v>
      </c>
      <c r="R197" s="15">
        <v>12</v>
      </c>
      <c r="S197" s="20">
        <v>0.73</v>
      </c>
      <c r="T197" s="15">
        <v>-25.73</v>
      </c>
    </row>
    <row r="198" spans="1:20" x14ac:dyDescent="0.3">
      <c r="A198" s="7" t="s">
        <v>216</v>
      </c>
      <c r="B198" s="13">
        <v>43315.834837962961</v>
      </c>
      <c r="C198" s="13">
        <v>43320.83483483483</v>
      </c>
      <c r="D198" s="8" t="s">
        <v>1022</v>
      </c>
      <c r="E198" s="8" t="s">
        <v>1218</v>
      </c>
      <c r="F198" s="8" t="s">
        <v>1994</v>
      </c>
      <c r="G198" s="8" t="s">
        <v>2407</v>
      </c>
      <c r="H198" s="8" t="s">
        <v>2409</v>
      </c>
      <c r="I198" s="8" t="s">
        <v>2414</v>
      </c>
      <c r="J198" s="16" t="s">
        <v>3895</v>
      </c>
      <c r="K198" s="16">
        <v>23222</v>
      </c>
      <c r="L198" s="8" t="s">
        <v>2422</v>
      </c>
      <c r="M198" s="8" t="s">
        <v>2617</v>
      </c>
      <c r="N198" s="8" t="s">
        <v>3371</v>
      </c>
      <c r="O198" s="8" t="s">
        <v>3375</v>
      </c>
      <c r="P198" s="8" t="s">
        <v>3506</v>
      </c>
      <c r="Q198" s="8">
        <v>4803.54</v>
      </c>
      <c r="R198" s="16">
        <v>13</v>
      </c>
      <c r="S198" s="21">
        <v>0.6</v>
      </c>
      <c r="T198" s="16">
        <v>2099.15</v>
      </c>
    </row>
    <row r="199" spans="1:20" x14ac:dyDescent="0.3">
      <c r="A199" s="5" t="s">
        <v>217</v>
      </c>
      <c r="B199" s="12">
        <v>43316.930925925924</v>
      </c>
      <c r="C199" s="12">
        <v>43318.930930930917</v>
      </c>
      <c r="D199" s="6" t="s">
        <v>1020</v>
      </c>
      <c r="E199" s="6" t="s">
        <v>1219</v>
      </c>
      <c r="F199" s="6" t="s">
        <v>2128</v>
      </c>
      <c r="G199" s="6" t="s">
        <v>2408</v>
      </c>
      <c r="H199" s="6" t="s">
        <v>2409</v>
      </c>
      <c r="I199" s="6" t="s">
        <v>2413</v>
      </c>
      <c r="J199" s="15" t="s">
        <v>3896</v>
      </c>
      <c r="K199" s="15">
        <v>53571</v>
      </c>
      <c r="L199" s="6" t="s">
        <v>2419</v>
      </c>
      <c r="M199" s="6" t="s">
        <v>2618</v>
      </c>
      <c r="N199" s="6" t="s">
        <v>3373</v>
      </c>
      <c r="O199" s="6" t="s">
        <v>3385</v>
      </c>
      <c r="P199" s="6" t="s">
        <v>3552</v>
      </c>
      <c r="Q199" s="6">
        <v>4143.55</v>
      </c>
      <c r="R199" s="15">
        <v>1</v>
      </c>
      <c r="S199" s="20">
        <v>0.08</v>
      </c>
      <c r="T199" s="15">
        <v>804.87</v>
      </c>
    </row>
    <row r="200" spans="1:20" x14ac:dyDescent="0.3">
      <c r="A200" s="7" t="s">
        <v>218</v>
      </c>
      <c r="B200" s="13">
        <v>43318.027025462965</v>
      </c>
      <c r="C200" s="13">
        <v>43322.027027027027</v>
      </c>
      <c r="D200" s="8" t="s">
        <v>1023</v>
      </c>
      <c r="E200" s="8" t="s">
        <v>1220</v>
      </c>
      <c r="F200" s="8" t="s">
        <v>2129</v>
      </c>
      <c r="G200" s="8" t="s">
        <v>2408</v>
      </c>
      <c r="H200" s="8" t="s">
        <v>2409</v>
      </c>
      <c r="I200" s="8" t="s">
        <v>2417</v>
      </c>
      <c r="J200" s="16" t="s">
        <v>3894</v>
      </c>
      <c r="K200" s="16">
        <v>14215</v>
      </c>
      <c r="L200" s="8" t="s">
        <v>2419</v>
      </c>
      <c r="M200" s="8" t="s">
        <v>2619</v>
      </c>
      <c r="N200" s="8" t="s">
        <v>3373</v>
      </c>
      <c r="O200" s="8" t="s">
        <v>3379</v>
      </c>
      <c r="P200" s="8" t="s">
        <v>3553</v>
      </c>
      <c r="Q200" s="8">
        <v>1825.8</v>
      </c>
      <c r="R200" s="16">
        <v>5</v>
      </c>
      <c r="S200" s="21">
        <v>0.81</v>
      </c>
      <c r="T200" s="16">
        <v>79.010000000000005</v>
      </c>
    </row>
    <row r="201" spans="1:20" x14ac:dyDescent="0.3">
      <c r="A201" s="5" t="s">
        <v>219</v>
      </c>
      <c r="B201" s="12">
        <v>43319.123124999998</v>
      </c>
      <c r="C201" s="12">
        <v>43322.123123123107</v>
      </c>
      <c r="D201" s="6" t="s">
        <v>1020</v>
      </c>
      <c r="E201" s="6" t="s">
        <v>1221</v>
      </c>
      <c r="F201" s="6" t="s">
        <v>2130</v>
      </c>
      <c r="G201" s="6" t="s">
        <v>2408</v>
      </c>
      <c r="H201" s="6" t="s">
        <v>2409</v>
      </c>
      <c r="I201" s="6" t="s">
        <v>2413</v>
      </c>
      <c r="J201" s="15" t="s">
        <v>2410</v>
      </c>
      <c r="K201" s="15">
        <v>36061</v>
      </c>
      <c r="L201" s="6" t="s">
        <v>2422</v>
      </c>
      <c r="M201" s="6" t="s">
        <v>2471</v>
      </c>
      <c r="N201" s="6" t="s">
        <v>3372</v>
      </c>
      <c r="O201" s="6" t="s">
        <v>3378</v>
      </c>
      <c r="P201" s="6" t="s">
        <v>3452</v>
      </c>
      <c r="Q201" s="6">
        <v>2223.77</v>
      </c>
      <c r="R201" s="15">
        <v>2</v>
      </c>
      <c r="S201" s="20">
        <v>0.54</v>
      </c>
      <c r="T201" s="15">
        <v>1185.03</v>
      </c>
    </row>
    <row r="202" spans="1:20" x14ac:dyDescent="0.3">
      <c r="A202" s="7" t="s">
        <v>220</v>
      </c>
      <c r="B202" s="13">
        <v>43320.219224537039</v>
      </c>
      <c r="C202" s="13">
        <v>43321.219219219223</v>
      </c>
      <c r="D202" s="8" t="s">
        <v>1021</v>
      </c>
      <c r="E202" s="8" t="s">
        <v>1222</v>
      </c>
      <c r="F202" s="8" t="s">
        <v>2131</v>
      </c>
      <c r="G202" s="8" t="s">
        <v>2408</v>
      </c>
      <c r="H202" s="8" t="s">
        <v>2409</v>
      </c>
      <c r="I202" s="8" t="s">
        <v>2417</v>
      </c>
      <c r="J202" s="16" t="s">
        <v>3897</v>
      </c>
      <c r="K202" s="16">
        <v>78688</v>
      </c>
      <c r="L202" s="8" t="s">
        <v>2422</v>
      </c>
      <c r="M202" s="8" t="s">
        <v>2620</v>
      </c>
      <c r="N202" s="8" t="s">
        <v>3371</v>
      </c>
      <c r="O202" s="8" t="s">
        <v>3375</v>
      </c>
      <c r="P202" s="8" t="s">
        <v>3554</v>
      </c>
      <c r="Q202" s="8">
        <v>2049.1</v>
      </c>
      <c r="R202" s="16">
        <v>5</v>
      </c>
      <c r="S202" s="21">
        <v>0.87</v>
      </c>
      <c r="T202" s="16">
        <v>468.53</v>
      </c>
    </row>
    <row r="203" spans="1:20" x14ac:dyDescent="0.3">
      <c r="A203" s="5" t="s">
        <v>221</v>
      </c>
      <c r="B203" s="12">
        <v>43321.315312500003</v>
      </c>
      <c r="C203" s="12">
        <v>43325.315315315311</v>
      </c>
      <c r="D203" s="6" t="s">
        <v>1021</v>
      </c>
      <c r="E203" s="6" t="s">
        <v>1223</v>
      </c>
      <c r="F203" s="6" t="s">
        <v>2132</v>
      </c>
      <c r="G203" s="6" t="s">
        <v>2408</v>
      </c>
      <c r="H203" s="6" t="s">
        <v>2409</v>
      </c>
      <c r="I203" s="6" t="s">
        <v>2417</v>
      </c>
      <c r="J203" s="15" t="s">
        <v>3897</v>
      </c>
      <c r="K203" s="15">
        <v>39615</v>
      </c>
      <c r="L203" s="6" t="s">
        <v>2421</v>
      </c>
      <c r="M203" s="6" t="s">
        <v>2621</v>
      </c>
      <c r="N203" s="6" t="s">
        <v>3371</v>
      </c>
      <c r="O203" s="6" t="s">
        <v>3374</v>
      </c>
      <c r="P203" s="6" t="s">
        <v>3555</v>
      </c>
      <c r="Q203" s="6">
        <v>3734.92</v>
      </c>
      <c r="R203" s="15">
        <v>13</v>
      </c>
      <c r="S203" s="20">
        <v>0.84</v>
      </c>
      <c r="T203" s="15">
        <v>1093.3499999999999</v>
      </c>
    </row>
    <row r="204" spans="1:20" x14ac:dyDescent="0.3">
      <c r="A204" s="7" t="s">
        <v>222</v>
      </c>
      <c r="B204" s="13">
        <v>43322.411412037036</v>
      </c>
      <c r="C204" s="13">
        <v>43325.411411411398</v>
      </c>
      <c r="D204" s="8" t="s">
        <v>1023</v>
      </c>
      <c r="E204" s="8" t="s">
        <v>1224</v>
      </c>
      <c r="F204" s="8" t="s">
        <v>2133</v>
      </c>
      <c r="G204" s="8" t="s">
        <v>2408</v>
      </c>
      <c r="H204" s="8" t="s">
        <v>2409</v>
      </c>
      <c r="I204" s="8" t="s">
        <v>2418</v>
      </c>
      <c r="J204" s="16" t="s">
        <v>3897</v>
      </c>
      <c r="K204" s="16">
        <v>48187</v>
      </c>
      <c r="L204" s="8" t="s">
        <v>2420</v>
      </c>
      <c r="M204" s="8" t="s">
        <v>2622</v>
      </c>
      <c r="N204" s="8" t="s">
        <v>3372</v>
      </c>
      <c r="O204" s="8" t="s">
        <v>3378</v>
      </c>
      <c r="P204" s="8" t="s">
        <v>3513</v>
      </c>
      <c r="Q204" s="8">
        <v>4529.2299999999996</v>
      </c>
      <c r="R204" s="16">
        <v>1</v>
      </c>
      <c r="S204" s="21">
        <v>0.27</v>
      </c>
      <c r="T204" s="16">
        <v>-19.11</v>
      </c>
    </row>
    <row r="205" spans="1:20" x14ac:dyDescent="0.3">
      <c r="A205" s="5" t="s">
        <v>223</v>
      </c>
      <c r="B205" s="12">
        <v>43323.507511574076</v>
      </c>
      <c r="C205" s="12">
        <v>43327.5075075075</v>
      </c>
      <c r="D205" s="6" t="s">
        <v>1020</v>
      </c>
      <c r="E205" s="6" t="s">
        <v>1225</v>
      </c>
      <c r="F205" s="6" t="s">
        <v>2063</v>
      </c>
      <c r="G205" s="6" t="s">
        <v>2406</v>
      </c>
      <c r="H205" s="6" t="s">
        <v>2409</v>
      </c>
      <c r="I205" s="6" t="s">
        <v>2418</v>
      </c>
      <c r="J205" s="15" t="s">
        <v>3897</v>
      </c>
      <c r="K205" s="15">
        <v>15209</v>
      </c>
      <c r="L205" s="6" t="s">
        <v>2421</v>
      </c>
      <c r="M205" s="6" t="s">
        <v>2623</v>
      </c>
      <c r="N205" s="6" t="s">
        <v>3372</v>
      </c>
      <c r="O205" s="6" t="s">
        <v>3376</v>
      </c>
      <c r="P205" s="6" t="s">
        <v>3399</v>
      </c>
      <c r="Q205" s="6">
        <v>1727.43</v>
      </c>
      <c r="R205" s="15">
        <v>10</v>
      </c>
      <c r="S205" s="20">
        <v>0.34</v>
      </c>
      <c r="T205" s="15">
        <v>343.56</v>
      </c>
    </row>
    <row r="206" spans="1:20" x14ac:dyDescent="0.3">
      <c r="A206" s="7" t="s">
        <v>224</v>
      </c>
      <c r="B206" s="13">
        <v>43324.60359953704</v>
      </c>
      <c r="C206" s="13">
        <v>43330.603603603602</v>
      </c>
      <c r="D206" s="8" t="s">
        <v>1023</v>
      </c>
      <c r="E206" s="8" t="s">
        <v>1226</v>
      </c>
      <c r="F206" s="8" t="s">
        <v>2108</v>
      </c>
      <c r="G206" s="8" t="s">
        <v>2407</v>
      </c>
      <c r="H206" s="8" t="s">
        <v>2409</v>
      </c>
      <c r="I206" s="8" t="s">
        <v>2414</v>
      </c>
      <c r="J206" s="16" t="s">
        <v>3894</v>
      </c>
      <c r="K206" s="16">
        <v>38507</v>
      </c>
      <c r="L206" s="8" t="s">
        <v>2419</v>
      </c>
      <c r="M206" s="8" t="s">
        <v>2624</v>
      </c>
      <c r="N206" s="8" t="s">
        <v>3372</v>
      </c>
      <c r="O206" s="8" t="s">
        <v>3376</v>
      </c>
      <c r="P206" s="8" t="s">
        <v>3539</v>
      </c>
      <c r="Q206" s="8">
        <v>1172.18</v>
      </c>
      <c r="R206" s="16">
        <v>9</v>
      </c>
      <c r="S206" s="21">
        <v>0.35</v>
      </c>
      <c r="T206" s="16">
        <v>71.08</v>
      </c>
    </row>
    <row r="207" spans="1:20" x14ac:dyDescent="0.3">
      <c r="A207" s="5" t="s">
        <v>225</v>
      </c>
      <c r="B207" s="12">
        <v>43325.699699074074</v>
      </c>
      <c r="C207" s="12">
        <v>43328.699699699697</v>
      </c>
      <c r="D207" s="6" t="s">
        <v>1020</v>
      </c>
      <c r="E207" s="6" t="s">
        <v>1227</v>
      </c>
      <c r="F207" s="6" t="s">
        <v>2048</v>
      </c>
      <c r="G207" s="6" t="s">
        <v>2406</v>
      </c>
      <c r="H207" s="6" t="s">
        <v>2409</v>
      </c>
      <c r="I207" s="6" t="s">
        <v>2418</v>
      </c>
      <c r="J207" s="15" t="s">
        <v>3895</v>
      </c>
      <c r="K207" s="15">
        <v>12885</v>
      </c>
      <c r="L207" s="6" t="s">
        <v>2422</v>
      </c>
      <c r="M207" s="6" t="s">
        <v>2625</v>
      </c>
      <c r="N207" s="6" t="s">
        <v>3373</v>
      </c>
      <c r="O207" s="6" t="s">
        <v>3380</v>
      </c>
      <c r="P207" s="6" t="s">
        <v>3515</v>
      </c>
      <c r="Q207" s="6">
        <v>3736.4</v>
      </c>
      <c r="R207" s="15">
        <v>2</v>
      </c>
      <c r="S207" s="20">
        <v>0.78</v>
      </c>
      <c r="T207" s="15">
        <v>968.43</v>
      </c>
    </row>
    <row r="208" spans="1:20" x14ac:dyDescent="0.3">
      <c r="A208" s="7" t="s">
        <v>226</v>
      </c>
      <c r="B208" s="13">
        <v>43326.795798611114</v>
      </c>
      <c r="C208" s="13">
        <v>43332.795795795777</v>
      </c>
      <c r="D208" s="8" t="s">
        <v>1021</v>
      </c>
      <c r="E208" s="8" t="s">
        <v>1228</v>
      </c>
      <c r="F208" s="8" t="s">
        <v>2134</v>
      </c>
      <c r="G208" s="8" t="s">
        <v>2408</v>
      </c>
      <c r="H208" s="8" t="s">
        <v>2409</v>
      </c>
      <c r="I208" s="8" t="s">
        <v>2411</v>
      </c>
      <c r="J208" s="16" t="s">
        <v>3895</v>
      </c>
      <c r="K208" s="16">
        <v>34399</v>
      </c>
      <c r="L208" s="8" t="s">
        <v>2419</v>
      </c>
      <c r="M208" s="8" t="s">
        <v>2626</v>
      </c>
      <c r="N208" s="8" t="s">
        <v>3371</v>
      </c>
      <c r="O208" s="8" t="s">
        <v>3375</v>
      </c>
      <c r="P208" s="8" t="s">
        <v>3529</v>
      </c>
      <c r="Q208" s="8">
        <v>640.62</v>
      </c>
      <c r="R208" s="16">
        <v>3</v>
      </c>
      <c r="S208" s="21">
        <v>0.56000000000000005</v>
      </c>
      <c r="T208" s="16">
        <v>16.239999999999998</v>
      </c>
    </row>
    <row r="209" spans="1:20" x14ac:dyDescent="0.3">
      <c r="A209" s="5" t="s">
        <v>227</v>
      </c>
      <c r="B209" s="12">
        <v>43327.891886574071</v>
      </c>
      <c r="C209" s="12">
        <v>43330.891891891893</v>
      </c>
      <c r="D209" s="6" t="s">
        <v>1020</v>
      </c>
      <c r="E209" s="6" t="s">
        <v>1229</v>
      </c>
      <c r="F209" s="6" t="s">
        <v>2135</v>
      </c>
      <c r="G209" s="6" t="s">
        <v>2407</v>
      </c>
      <c r="H209" s="6" t="s">
        <v>2409</v>
      </c>
      <c r="I209" s="6" t="s">
        <v>2412</v>
      </c>
      <c r="J209" s="15" t="s">
        <v>3898</v>
      </c>
      <c r="K209" s="15">
        <v>27194</v>
      </c>
      <c r="L209" s="6" t="s">
        <v>2419</v>
      </c>
      <c r="M209" s="6" t="s">
        <v>2627</v>
      </c>
      <c r="N209" s="6" t="s">
        <v>3371</v>
      </c>
      <c r="O209" s="6" t="s">
        <v>3382</v>
      </c>
      <c r="P209" s="6" t="s">
        <v>3556</v>
      </c>
      <c r="Q209" s="6">
        <v>472.87</v>
      </c>
      <c r="R209" s="15">
        <v>4</v>
      </c>
      <c r="S209" s="20">
        <v>0.03</v>
      </c>
      <c r="T209" s="15">
        <v>51.3</v>
      </c>
    </row>
    <row r="210" spans="1:20" x14ac:dyDescent="0.3">
      <c r="A210" s="7" t="s">
        <v>228</v>
      </c>
      <c r="B210" s="13">
        <v>43328.987986111111</v>
      </c>
      <c r="C210" s="13">
        <v>43334.987987987988</v>
      </c>
      <c r="D210" s="8" t="s">
        <v>1020</v>
      </c>
      <c r="E210" s="8" t="s">
        <v>1230</v>
      </c>
      <c r="F210" s="8" t="s">
        <v>2136</v>
      </c>
      <c r="G210" s="8" t="s">
        <v>2407</v>
      </c>
      <c r="H210" s="8" t="s">
        <v>2409</v>
      </c>
      <c r="I210" s="8" t="s">
        <v>2410</v>
      </c>
      <c r="J210" s="16" t="s">
        <v>3895</v>
      </c>
      <c r="K210" s="16">
        <v>96081</v>
      </c>
      <c r="L210" s="8" t="s">
        <v>2419</v>
      </c>
      <c r="M210" s="8" t="s">
        <v>2628</v>
      </c>
      <c r="N210" s="8" t="s">
        <v>3371</v>
      </c>
      <c r="O210" s="8" t="s">
        <v>3382</v>
      </c>
      <c r="P210" s="8" t="s">
        <v>3557</v>
      </c>
      <c r="Q210" s="8">
        <v>573.14</v>
      </c>
      <c r="R210" s="16">
        <v>3</v>
      </c>
      <c r="S210" s="21">
        <v>0.6</v>
      </c>
      <c r="T210" s="16">
        <v>-33.89</v>
      </c>
    </row>
    <row r="211" spans="1:20" x14ac:dyDescent="0.3">
      <c r="A211" s="5" t="s">
        <v>229</v>
      </c>
      <c r="B211" s="12">
        <v>43330.084085648145</v>
      </c>
      <c r="C211" s="12">
        <v>43333.084084084083</v>
      </c>
      <c r="D211" s="6" t="s">
        <v>1020</v>
      </c>
      <c r="E211" s="6" t="s">
        <v>1231</v>
      </c>
      <c r="F211" s="6" t="s">
        <v>2137</v>
      </c>
      <c r="G211" s="6" t="s">
        <v>2406</v>
      </c>
      <c r="H211" s="6" t="s">
        <v>2409</v>
      </c>
      <c r="I211" s="6" t="s">
        <v>2418</v>
      </c>
      <c r="J211" s="15" t="s">
        <v>3891</v>
      </c>
      <c r="K211" s="15">
        <v>86895</v>
      </c>
      <c r="L211" s="6" t="s">
        <v>2422</v>
      </c>
      <c r="M211" s="6" t="s">
        <v>2629</v>
      </c>
      <c r="N211" s="6" t="s">
        <v>3371</v>
      </c>
      <c r="O211" s="6" t="s">
        <v>3375</v>
      </c>
      <c r="P211" s="6" t="s">
        <v>3558</v>
      </c>
      <c r="Q211" s="6">
        <v>1104.3900000000001</v>
      </c>
      <c r="R211" s="15">
        <v>14</v>
      </c>
      <c r="S211" s="20">
        <v>0.38</v>
      </c>
      <c r="T211" s="15">
        <v>607.67999999999995</v>
      </c>
    </row>
    <row r="212" spans="1:20" x14ac:dyDescent="0.3">
      <c r="A212" s="7" t="s">
        <v>230</v>
      </c>
      <c r="B212" s="13">
        <v>43331.180185185185</v>
      </c>
      <c r="C212" s="13">
        <v>43334.18018018017</v>
      </c>
      <c r="D212" s="8" t="s">
        <v>1021</v>
      </c>
      <c r="E212" s="8" t="s">
        <v>1232</v>
      </c>
      <c r="F212" s="8" t="s">
        <v>2035</v>
      </c>
      <c r="G212" s="8" t="s">
        <v>2408</v>
      </c>
      <c r="H212" s="8" t="s">
        <v>2409</v>
      </c>
      <c r="I212" s="8" t="s">
        <v>2415</v>
      </c>
      <c r="J212" s="16" t="s">
        <v>3891</v>
      </c>
      <c r="K212" s="16">
        <v>50713</v>
      </c>
      <c r="L212" s="8" t="s">
        <v>2421</v>
      </c>
      <c r="M212" s="8" t="s">
        <v>2630</v>
      </c>
      <c r="N212" s="8" t="s">
        <v>3371</v>
      </c>
      <c r="O212" s="8" t="s">
        <v>3374</v>
      </c>
      <c r="P212" s="8" t="s">
        <v>3554</v>
      </c>
      <c r="Q212" s="8">
        <v>1500.83</v>
      </c>
      <c r="R212" s="16">
        <v>8</v>
      </c>
      <c r="S212" s="21">
        <v>0.74</v>
      </c>
      <c r="T212" s="16">
        <v>699.47</v>
      </c>
    </row>
    <row r="213" spans="1:20" x14ac:dyDescent="0.3">
      <c r="A213" s="5" t="s">
        <v>231</v>
      </c>
      <c r="B213" s="12">
        <v>43332.276273148149</v>
      </c>
      <c r="C213" s="12">
        <v>43338.276276276272</v>
      </c>
      <c r="D213" s="6" t="s">
        <v>1023</v>
      </c>
      <c r="E213" s="6" t="s">
        <v>1233</v>
      </c>
      <c r="F213" s="6" t="s">
        <v>2138</v>
      </c>
      <c r="G213" s="6" t="s">
        <v>2406</v>
      </c>
      <c r="H213" s="6" t="s">
        <v>2409</v>
      </c>
      <c r="I213" s="6" t="s">
        <v>2415</v>
      </c>
      <c r="J213" s="15" t="s">
        <v>3894</v>
      </c>
      <c r="K213" s="15">
        <v>50390</v>
      </c>
      <c r="L213" s="6" t="s">
        <v>2422</v>
      </c>
      <c r="M213" s="6" t="s">
        <v>2631</v>
      </c>
      <c r="N213" s="6" t="s">
        <v>3371</v>
      </c>
      <c r="O213" s="6" t="s">
        <v>3374</v>
      </c>
      <c r="P213" s="6" t="s">
        <v>3559</v>
      </c>
      <c r="Q213" s="6">
        <v>353.48</v>
      </c>
      <c r="R213" s="15">
        <v>8</v>
      </c>
      <c r="S213" s="20">
        <v>0.26</v>
      </c>
      <c r="T213" s="15">
        <v>183.71</v>
      </c>
    </row>
    <row r="214" spans="1:20" x14ac:dyDescent="0.3">
      <c r="A214" s="7" t="s">
        <v>232</v>
      </c>
      <c r="B214" s="13">
        <v>43333.372372685182</v>
      </c>
      <c r="C214" s="13">
        <v>43337.37237237236</v>
      </c>
      <c r="D214" s="8" t="s">
        <v>1022</v>
      </c>
      <c r="E214" s="8" t="s">
        <v>1234</v>
      </c>
      <c r="F214" s="8" t="s">
        <v>2139</v>
      </c>
      <c r="G214" s="8" t="s">
        <v>2407</v>
      </c>
      <c r="H214" s="8" t="s">
        <v>2409</v>
      </c>
      <c r="I214" s="8" t="s">
        <v>2410</v>
      </c>
      <c r="J214" s="16" t="s">
        <v>3893</v>
      </c>
      <c r="K214" s="16">
        <v>32234</v>
      </c>
      <c r="L214" s="8" t="s">
        <v>2421</v>
      </c>
      <c r="M214" s="8" t="s">
        <v>2632</v>
      </c>
      <c r="N214" s="8" t="s">
        <v>3371</v>
      </c>
      <c r="O214" s="8" t="s">
        <v>3375</v>
      </c>
      <c r="P214" s="8" t="s">
        <v>3486</v>
      </c>
      <c r="Q214" s="8">
        <v>742.19</v>
      </c>
      <c r="R214" s="16">
        <v>6</v>
      </c>
      <c r="S214" s="21">
        <v>0.28000000000000003</v>
      </c>
      <c r="T214" s="16">
        <v>147.69999999999999</v>
      </c>
    </row>
    <row r="215" spans="1:20" x14ac:dyDescent="0.3">
      <c r="A215" s="5" t="s">
        <v>233</v>
      </c>
      <c r="B215" s="12">
        <v>43334.468472222223</v>
      </c>
      <c r="C215" s="12">
        <v>43339.468468468462</v>
      </c>
      <c r="D215" s="6" t="s">
        <v>1021</v>
      </c>
      <c r="E215" s="6" t="s">
        <v>1235</v>
      </c>
      <c r="F215" s="6" t="s">
        <v>2083</v>
      </c>
      <c r="G215" s="6" t="s">
        <v>2408</v>
      </c>
      <c r="H215" s="6" t="s">
        <v>2409</v>
      </c>
      <c r="I215" s="6" t="s">
        <v>2415</v>
      </c>
      <c r="J215" s="15" t="s">
        <v>3896</v>
      </c>
      <c r="K215" s="15">
        <v>17603</v>
      </c>
      <c r="L215" s="6" t="s">
        <v>2422</v>
      </c>
      <c r="M215" s="6" t="s">
        <v>2633</v>
      </c>
      <c r="N215" s="6" t="s">
        <v>3373</v>
      </c>
      <c r="O215" s="6" t="s">
        <v>3385</v>
      </c>
      <c r="P215" s="6" t="s">
        <v>3560</v>
      </c>
      <c r="Q215" s="6">
        <v>2400.35</v>
      </c>
      <c r="R215" s="15">
        <v>3</v>
      </c>
      <c r="S215" s="20">
        <v>0.38</v>
      </c>
      <c r="T215" s="15">
        <v>1348.95</v>
      </c>
    </row>
    <row r="216" spans="1:20" x14ac:dyDescent="0.3">
      <c r="A216" s="7" t="s">
        <v>234</v>
      </c>
      <c r="B216" s="13">
        <v>43335.564560185187</v>
      </c>
      <c r="C216" s="13">
        <v>43339.564564564564</v>
      </c>
      <c r="D216" s="8" t="s">
        <v>1023</v>
      </c>
      <c r="E216" s="8" t="s">
        <v>1236</v>
      </c>
      <c r="F216" s="8" t="s">
        <v>2140</v>
      </c>
      <c r="G216" s="8" t="s">
        <v>2408</v>
      </c>
      <c r="H216" s="8" t="s">
        <v>2409</v>
      </c>
      <c r="I216" s="8" t="s">
        <v>2411</v>
      </c>
      <c r="J216" s="16" t="s">
        <v>2410</v>
      </c>
      <c r="K216" s="16">
        <v>85688</v>
      </c>
      <c r="L216" s="8" t="s">
        <v>2422</v>
      </c>
      <c r="M216" s="8" t="s">
        <v>2634</v>
      </c>
      <c r="N216" s="8" t="s">
        <v>3373</v>
      </c>
      <c r="O216" s="8" t="s">
        <v>3385</v>
      </c>
      <c r="P216" s="8" t="s">
        <v>3512</v>
      </c>
      <c r="Q216" s="8">
        <v>1210.26</v>
      </c>
      <c r="R216" s="16">
        <v>9</v>
      </c>
      <c r="S216" s="21">
        <v>0.56999999999999995</v>
      </c>
      <c r="T216" s="16">
        <v>333.76</v>
      </c>
    </row>
    <row r="217" spans="1:20" x14ac:dyDescent="0.3">
      <c r="A217" s="5" t="s">
        <v>235</v>
      </c>
      <c r="B217" s="12">
        <v>43336.66065972222</v>
      </c>
      <c r="C217" s="12">
        <v>43338.660660660658</v>
      </c>
      <c r="D217" s="6" t="s">
        <v>1020</v>
      </c>
      <c r="E217" s="6" t="s">
        <v>1237</v>
      </c>
      <c r="F217" s="6" t="s">
        <v>2051</v>
      </c>
      <c r="G217" s="6" t="s">
        <v>2406</v>
      </c>
      <c r="H217" s="6" t="s">
        <v>2409</v>
      </c>
      <c r="I217" s="6" t="s">
        <v>2410</v>
      </c>
      <c r="J217" s="15" t="s">
        <v>3893</v>
      </c>
      <c r="K217" s="15">
        <v>59666</v>
      </c>
      <c r="L217" s="6" t="s">
        <v>2420</v>
      </c>
      <c r="M217" s="6" t="s">
        <v>2635</v>
      </c>
      <c r="N217" s="6" t="s">
        <v>3372</v>
      </c>
      <c r="O217" s="6" t="s">
        <v>3378</v>
      </c>
      <c r="P217" s="6" t="s">
        <v>3465</v>
      </c>
      <c r="Q217" s="6">
        <v>391.34</v>
      </c>
      <c r="R217" s="15">
        <v>5</v>
      </c>
      <c r="S217" s="20">
        <v>0.48</v>
      </c>
      <c r="T217" s="15">
        <v>195.78</v>
      </c>
    </row>
    <row r="218" spans="1:20" x14ac:dyDescent="0.3">
      <c r="A218" s="7" t="s">
        <v>236</v>
      </c>
      <c r="B218" s="13">
        <v>43337.75675925926</v>
      </c>
      <c r="C218" s="13">
        <v>43339.756756756753</v>
      </c>
      <c r="D218" s="8" t="s">
        <v>1023</v>
      </c>
      <c r="E218" s="8" t="s">
        <v>1238</v>
      </c>
      <c r="F218" s="8" t="s">
        <v>2141</v>
      </c>
      <c r="G218" s="8" t="s">
        <v>2406</v>
      </c>
      <c r="H218" s="8" t="s">
        <v>2409</v>
      </c>
      <c r="I218" s="8" t="s">
        <v>2412</v>
      </c>
      <c r="J218" s="16" t="s">
        <v>3895</v>
      </c>
      <c r="K218" s="16">
        <v>60741</v>
      </c>
      <c r="L218" s="8" t="s">
        <v>2420</v>
      </c>
      <c r="M218" s="8" t="s">
        <v>2636</v>
      </c>
      <c r="N218" s="8" t="s">
        <v>3372</v>
      </c>
      <c r="O218" s="8" t="s">
        <v>3378</v>
      </c>
      <c r="P218" s="8" t="s">
        <v>3561</v>
      </c>
      <c r="Q218" s="8">
        <v>1528.09</v>
      </c>
      <c r="R218" s="16">
        <v>1</v>
      </c>
      <c r="S218" s="21">
        <v>0.56999999999999995</v>
      </c>
      <c r="T218" s="16">
        <v>542.5</v>
      </c>
    </row>
    <row r="219" spans="1:20" x14ac:dyDescent="0.3">
      <c r="A219" s="5" t="s">
        <v>237</v>
      </c>
      <c r="B219" s="12">
        <v>43338.852847222224</v>
      </c>
      <c r="C219" s="12">
        <v>43339.852852852848</v>
      </c>
      <c r="D219" s="6" t="s">
        <v>1021</v>
      </c>
      <c r="E219" s="6" t="s">
        <v>1239</v>
      </c>
      <c r="F219" s="6" t="s">
        <v>2139</v>
      </c>
      <c r="G219" s="6" t="s">
        <v>2406</v>
      </c>
      <c r="H219" s="6" t="s">
        <v>2409</v>
      </c>
      <c r="I219" s="6" t="s">
        <v>2416</v>
      </c>
      <c r="J219" s="15" t="s">
        <v>3891</v>
      </c>
      <c r="K219" s="15">
        <v>72934</v>
      </c>
      <c r="L219" s="6" t="s">
        <v>2422</v>
      </c>
      <c r="M219" s="6" t="s">
        <v>2637</v>
      </c>
      <c r="N219" s="6" t="s">
        <v>3371</v>
      </c>
      <c r="O219" s="6" t="s">
        <v>3382</v>
      </c>
      <c r="P219" s="6" t="s">
        <v>3562</v>
      </c>
      <c r="Q219" s="6">
        <v>4914.93</v>
      </c>
      <c r="R219" s="15">
        <v>13</v>
      </c>
      <c r="S219" s="20">
        <v>0.36</v>
      </c>
      <c r="T219" s="15">
        <v>671.95</v>
      </c>
    </row>
    <row r="220" spans="1:20" x14ac:dyDescent="0.3">
      <c r="A220" s="7" t="s">
        <v>238</v>
      </c>
      <c r="B220" s="13">
        <v>43339.948946759258</v>
      </c>
      <c r="C220" s="13">
        <v>43345.94894894895</v>
      </c>
      <c r="D220" s="8" t="s">
        <v>1023</v>
      </c>
      <c r="E220" s="8" t="s">
        <v>1240</v>
      </c>
      <c r="F220" s="8" t="s">
        <v>2120</v>
      </c>
      <c r="G220" s="8" t="s">
        <v>2406</v>
      </c>
      <c r="H220" s="8" t="s">
        <v>2409</v>
      </c>
      <c r="I220" s="8" t="s">
        <v>2412</v>
      </c>
      <c r="J220" s="16" t="s">
        <v>2410</v>
      </c>
      <c r="K220" s="16">
        <v>47018</v>
      </c>
      <c r="L220" s="8" t="s">
        <v>2419</v>
      </c>
      <c r="M220" s="8" t="s">
        <v>2638</v>
      </c>
      <c r="N220" s="8" t="s">
        <v>3371</v>
      </c>
      <c r="O220" s="8" t="s">
        <v>3374</v>
      </c>
      <c r="P220" s="8" t="s">
        <v>3563</v>
      </c>
      <c r="Q220" s="8">
        <v>4208.76</v>
      </c>
      <c r="R220" s="16">
        <v>4</v>
      </c>
      <c r="S220" s="21">
        <v>0.41</v>
      </c>
      <c r="T220" s="16">
        <v>2344.5300000000002</v>
      </c>
    </row>
    <row r="221" spans="1:20" x14ac:dyDescent="0.3">
      <c r="A221" s="5" t="s">
        <v>239</v>
      </c>
      <c r="B221" s="12">
        <v>43341.045046296298</v>
      </c>
      <c r="C221" s="12">
        <v>43344.045045045037</v>
      </c>
      <c r="D221" s="6" t="s">
        <v>1022</v>
      </c>
      <c r="E221" s="6" t="s">
        <v>1241</v>
      </c>
      <c r="F221" s="6" t="s">
        <v>2006</v>
      </c>
      <c r="G221" s="6" t="s">
        <v>2408</v>
      </c>
      <c r="H221" s="6" t="s">
        <v>2409</v>
      </c>
      <c r="I221" s="6" t="s">
        <v>2417</v>
      </c>
      <c r="J221" s="15" t="s">
        <v>3897</v>
      </c>
      <c r="K221" s="15">
        <v>39988</v>
      </c>
      <c r="L221" s="6" t="s">
        <v>2419</v>
      </c>
      <c r="M221" s="6" t="s">
        <v>2639</v>
      </c>
      <c r="N221" s="6" t="s">
        <v>3373</v>
      </c>
      <c r="O221" s="6" t="s">
        <v>3380</v>
      </c>
      <c r="P221" s="6" t="s">
        <v>3564</v>
      </c>
      <c r="Q221" s="6">
        <v>1302.0999999999999</v>
      </c>
      <c r="R221" s="15">
        <v>10</v>
      </c>
      <c r="S221" s="20">
        <v>0.61</v>
      </c>
      <c r="T221" s="15">
        <v>773.21</v>
      </c>
    </row>
    <row r="222" spans="1:20" x14ac:dyDescent="0.3">
      <c r="A222" s="7" t="s">
        <v>240</v>
      </c>
      <c r="B222" s="13">
        <v>43342.141145833331</v>
      </c>
      <c r="C222" s="13">
        <v>43348.141141141132</v>
      </c>
      <c r="D222" s="8" t="s">
        <v>1021</v>
      </c>
      <c r="E222" s="8" t="s">
        <v>1242</v>
      </c>
      <c r="F222" s="8" t="s">
        <v>2142</v>
      </c>
      <c r="G222" s="8" t="s">
        <v>2407</v>
      </c>
      <c r="H222" s="8" t="s">
        <v>2409</v>
      </c>
      <c r="I222" s="8" t="s">
        <v>2415</v>
      </c>
      <c r="J222" s="16" t="s">
        <v>3898</v>
      </c>
      <c r="K222" s="16">
        <v>49736</v>
      </c>
      <c r="L222" s="8" t="s">
        <v>2422</v>
      </c>
      <c r="M222" s="8" t="s">
        <v>2640</v>
      </c>
      <c r="N222" s="8" t="s">
        <v>3372</v>
      </c>
      <c r="O222" s="8" t="s">
        <v>3384</v>
      </c>
      <c r="P222" s="8" t="s">
        <v>3535</v>
      </c>
      <c r="Q222" s="8">
        <v>4236.13</v>
      </c>
      <c r="R222" s="16">
        <v>4</v>
      </c>
      <c r="S222" s="21">
        <v>0.48</v>
      </c>
      <c r="T222" s="16">
        <v>224.84</v>
      </c>
    </row>
    <row r="223" spans="1:20" x14ac:dyDescent="0.3">
      <c r="A223" s="5" t="s">
        <v>241</v>
      </c>
      <c r="B223" s="12">
        <v>43343.237233796295</v>
      </c>
      <c r="C223" s="12">
        <v>43347.237237237227</v>
      </c>
      <c r="D223" s="6" t="s">
        <v>1023</v>
      </c>
      <c r="E223" s="6" t="s">
        <v>1243</v>
      </c>
      <c r="F223" s="6" t="s">
        <v>2143</v>
      </c>
      <c r="G223" s="6" t="s">
        <v>2408</v>
      </c>
      <c r="H223" s="6" t="s">
        <v>2409</v>
      </c>
      <c r="I223" s="6" t="s">
        <v>2411</v>
      </c>
      <c r="J223" s="15" t="s">
        <v>3893</v>
      </c>
      <c r="K223" s="15">
        <v>38745</v>
      </c>
      <c r="L223" s="6" t="s">
        <v>2421</v>
      </c>
      <c r="M223" s="6" t="s">
        <v>2641</v>
      </c>
      <c r="N223" s="6" t="s">
        <v>3373</v>
      </c>
      <c r="O223" s="6" t="s">
        <v>3379</v>
      </c>
      <c r="P223" s="6" t="s">
        <v>3546</v>
      </c>
      <c r="Q223" s="6">
        <v>2538.98</v>
      </c>
      <c r="R223" s="15">
        <v>9</v>
      </c>
      <c r="S223" s="20">
        <v>0.19</v>
      </c>
      <c r="T223" s="15">
        <v>898.5</v>
      </c>
    </row>
    <row r="224" spans="1:20" x14ac:dyDescent="0.3">
      <c r="A224" s="7" t="s">
        <v>242</v>
      </c>
      <c r="B224" s="13">
        <v>43344.333333333336</v>
      </c>
      <c r="C224" s="13">
        <v>43345.333333333343</v>
      </c>
      <c r="D224" s="8" t="s">
        <v>1023</v>
      </c>
      <c r="E224" s="8" t="s">
        <v>1244</v>
      </c>
      <c r="F224" s="8" t="s">
        <v>2087</v>
      </c>
      <c r="G224" s="8" t="s">
        <v>2407</v>
      </c>
      <c r="H224" s="8" t="s">
        <v>2409</v>
      </c>
      <c r="I224" s="8" t="s">
        <v>2410</v>
      </c>
      <c r="J224" s="16" t="s">
        <v>2410</v>
      </c>
      <c r="K224" s="16">
        <v>63616</v>
      </c>
      <c r="L224" s="8" t="s">
        <v>2421</v>
      </c>
      <c r="M224" s="8" t="s">
        <v>2642</v>
      </c>
      <c r="N224" s="8" t="s">
        <v>3371</v>
      </c>
      <c r="O224" s="8" t="s">
        <v>3383</v>
      </c>
      <c r="P224" s="8" t="s">
        <v>3565</v>
      </c>
      <c r="Q224" s="8">
        <v>1593.78</v>
      </c>
      <c r="R224" s="16">
        <v>5</v>
      </c>
      <c r="S224" s="21">
        <v>0.43</v>
      </c>
      <c r="T224" s="16">
        <v>318.43</v>
      </c>
    </row>
    <row r="225" spans="1:20" x14ac:dyDescent="0.3">
      <c r="A225" s="5" t="s">
        <v>243</v>
      </c>
      <c r="B225" s="12">
        <v>43345.429432870369</v>
      </c>
      <c r="C225" s="12">
        <v>43348.429429429423</v>
      </c>
      <c r="D225" s="6" t="s">
        <v>1023</v>
      </c>
      <c r="E225" s="6" t="s">
        <v>1081</v>
      </c>
      <c r="F225" s="6" t="s">
        <v>2144</v>
      </c>
      <c r="G225" s="6" t="s">
        <v>2407</v>
      </c>
      <c r="H225" s="6" t="s">
        <v>2409</v>
      </c>
      <c r="I225" s="6" t="s">
        <v>2415</v>
      </c>
      <c r="J225" s="15" t="s">
        <v>3898</v>
      </c>
      <c r="K225" s="15">
        <v>37174</v>
      </c>
      <c r="L225" s="6" t="s">
        <v>2421</v>
      </c>
      <c r="M225" s="6" t="s">
        <v>2643</v>
      </c>
      <c r="N225" s="6" t="s">
        <v>3371</v>
      </c>
      <c r="O225" s="6" t="s">
        <v>3374</v>
      </c>
      <c r="P225" s="6" t="s">
        <v>3566</v>
      </c>
      <c r="Q225" s="6">
        <v>995.21</v>
      </c>
      <c r="R225" s="15">
        <v>3</v>
      </c>
      <c r="S225" s="20">
        <v>0.81</v>
      </c>
      <c r="T225" s="15">
        <v>465.21</v>
      </c>
    </row>
    <row r="226" spans="1:20" x14ac:dyDescent="0.3">
      <c r="A226" s="7" t="s">
        <v>244</v>
      </c>
      <c r="B226" s="13">
        <v>43346.525520833333</v>
      </c>
      <c r="C226" s="13">
        <v>43347.525525525518</v>
      </c>
      <c r="D226" s="8" t="s">
        <v>1021</v>
      </c>
      <c r="E226" s="8" t="s">
        <v>1245</v>
      </c>
      <c r="F226" s="8" t="s">
        <v>2145</v>
      </c>
      <c r="G226" s="8" t="s">
        <v>2407</v>
      </c>
      <c r="H226" s="8" t="s">
        <v>2409</v>
      </c>
      <c r="I226" s="8" t="s">
        <v>2414</v>
      </c>
      <c r="J226" s="16" t="s">
        <v>3895</v>
      </c>
      <c r="K226" s="16">
        <v>28237</v>
      </c>
      <c r="L226" s="8" t="s">
        <v>2421</v>
      </c>
      <c r="M226" s="8" t="s">
        <v>2644</v>
      </c>
      <c r="N226" s="8" t="s">
        <v>3371</v>
      </c>
      <c r="O226" s="8" t="s">
        <v>3374</v>
      </c>
      <c r="P226" s="8" t="s">
        <v>3567</v>
      </c>
      <c r="Q226" s="8">
        <v>1111.46</v>
      </c>
      <c r="R226" s="16">
        <v>4</v>
      </c>
      <c r="S226" s="21">
        <v>0.21</v>
      </c>
      <c r="T226" s="16">
        <v>305.91000000000003</v>
      </c>
    </row>
    <row r="227" spans="1:20" x14ac:dyDescent="0.3">
      <c r="A227" s="5" t="s">
        <v>245</v>
      </c>
      <c r="B227" s="12">
        <v>43347.621620370373</v>
      </c>
      <c r="C227" s="12">
        <v>43349.62162162162</v>
      </c>
      <c r="D227" s="6" t="s">
        <v>1022</v>
      </c>
      <c r="E227" s="6" t="s">
        <v>1246</v>
      </c>
      <c r="F227" s="6" t="s">
        <v>2146</v>
      </c>
      <c r="G227" s="6" t="s">
        <v>2406</v>
      </c>
      <c r="H227" s="6" t="s">
        <v>2409</v>
      </c>
      <c r="I227" s="6" t="s">
        <v>2416</v>
      </c>
      <c r="J227" s="15" t="s">
        <v>3891</v>
      </c>
      <c r="K227" s="15">
        <v>82737</v>
      </c>
      <c r="L227" s="6" t="s">
        <v>2419</v>
      </c>
      <c r="M227" s="6" t="s">
        <v>2645</v>
      </c>
      <c r="N227" s="6" t="s">
        <v>3373</v>
      </c>
      <c r="O227" s="6" t="s">
        <v>3385</v>
      </c>
      <c r="P227" s="6" t="s">
        <v>3568</v>
      </c>
      <c r="Q227" s="6">
        <v>1033.06</v>
      </c>
      <c r="R227" s="15">
        <v>4</v>
      </c>
      <c r="S227" s="20">
        <v>0.02</v>
      </c>
      <c r="T227" s="15">
        <v>280.67</v>
      </c>
    </row>
    <row r="228" spans="1:20" x14ac:dyDescent="0.3">
      <c r="A228" s="7" t="s">
        <v>246</v>
      </c>
      <c r="B228" s="13">
        <v>43348.717719907407</v>
      </c>
      <c r="C228" s="13">
        <v>43350.717717717707</v>
      </c>
      <c r="D228" s="8" t="s">
        <v>1020</v>
      </c>
      <c r="E228" s="8" t="s">
        <v>1247</v>
      </c>
      <c r="F228" s="8" t="s">
        <v>2147</v>
      </c>
      <c r="G228" s="8" t="s">
        <v>2408</v>
      </c>
      <c r="H228" s="8" t="s">
        <v>2409</v>
      </c>
      <c r="I228" s="8" t="s">
        <v>2418</v>
      </c>
      <c r="J228" s="16" t="s">
        <v>3891</v>
      </c>
      <c r="K228" s="16">
        <v>98066</v>
      </c>
      <c r="L228" s="8" t="s">
        <v>2422</v>
      </c>
      <c r="M228" s="8" t="s">
        <v>2646</v>
      </c>
      <c r="N228" s="8" t="s">
        <v>3373</v>
      </c>
      <c r="O228" s="8" t="s">
        <v>3379</v>
      </c>
      <c r="P228" s="8" t="s">
        <v>3569</v>
      </c>
      <c r="Q228" s="8">
        <v>1092.4100000000001</v>
      </c>
      <c r="R228" s="16">
        <v>10</v>
      </c>
      <c r="S228" s="21">
        <v>0.71</v>
      </c>
      <c r="T228" s="16">
        <v>60.74</v>
      </c>
    </row>
    <row r="229" spans="1:20" x14ac:dyDescent="0.3">
      <c r="A229" s="5" t="s">
        <v>247</v>
      </c>
      <c r="B229" s="12">
        <v>43349.813819444447</v>
      </c>
      <c r="C229" s="12">
        <v>43354.813813813809</v>
      </c>
      <c r="D229" s="6" t="s">
        <v>1020</v>
      </c>
      <c r="E229" s="6" t="s">
        <v>1248</v>
      </c>
      <c r="F229" s="6" t="s">
        <v>2148</v>
      </c>
      <c r="G229" s="6" t="s">
        <v>2406</v>
      </c>
      <c r="H229" s="6" t="s">
        <v>2409</v>
      </c>
      <c r="I229" s="6" t="s">
        <v>2415</v>
      </c>
      <c r="J229" s="15" t="s">
        <v>3894</v>
      </c>
      <c r="K229" s="15">
        <v>40103</v>
      </c>
      <c r="L229" s="6" t="s">
        <v>2419</v>
      </c>
      <c r="M229" s="6" t="s">
        <v>2647</v>
      </c>
      <c r="N229" s="6" t="s">
        <v>3373</v>
      </c>
      <c r="O229" s="6" t="s">
        <v>3381</v>
      </c>
      <c r="P229" s="6" t="s">
        <v>3570</v>
      </c>
      <c r="Q229" s="6">
        <v>3442.6</v>
      </c>
      <c r="R229" s="15">
        <v>7</v>
      </c>
      <c r="S229" s="20">
        <v>0.1</v>
      </c>
      <c r="T229" s="15">
        <v>1998.46</v>
      </c>
    </row>
    <row r="230" spans="1:20" x14ac:dyDescent="0.3">
      <c r="A230" s="7" t="s">
        <v>248</v>
      </c>
      <c r="B230" s="13">
        <v>43350.909907407404</v>
      </c>
      <c r="C230" s="13">
        <v>43356.909909909897</v>
      </c>
      <c r="D230" s="8" t="s">
        <v>1022</v>
      </c>
      <c r="E230" s="8" t="s">
        <v>1249</v>
      </c>
      <c r="F230" s="8" t="s">
        <v>1985</v>
      </c>
      <c r="G230" s="8" t="s">
        <v>2406</v>
      </c>
      <c r="H230" s="8" t="s">
        <v>2409</v>
      </c>
      <c r="I230" s="8" t="s">
        <v>2413</v>
      </c>
      <c r="J230" s="16" t="s">
        <v>3896</v>
      </c>
      <c r="K230" s="16">
        <v>93393</v>
      </c>
      <c r="L230" s="8" t="s">
        <v>2422</v>
      </c>
      <c r="M230" s="8" t="s">
        <v>2648</v>
      </c>
      <c r="N230" s="8" t="s">
        <v>3371</v>
      </c>
      <c r="O230" s="8" t="s">
        <v>3375</v>
      </c>
      <c r="P230" s="8" t="s">
        <v>3571</v>
      </c>
      <c r="Q230" s="8">
        <v>778.62</v>
      </c>
      <c r="R230" s="16">
        <v>1</v>
      </c>
      <c r="S230" s="21">
        <v>0.78</v>
      </c>
      <c r="T230" s="16">
        <v>64.77</v>
      </c>
    </row>
    <row r="231" spans="1:20" x14ac:dyDescent="0.3">
      <c r="A231" s="5" t="s">
        <v>249</v>
      </c>
      <c r="B231" s="12">
        <v>43352.006006944444</v>
      </c>
      <c r="C231" s="12">
        <v>43356.006006005999</v>
      </c>
      <c r="D231" s="6" t="s">
        <v>1021</v>
      </c>
      <c r="E231" s="6" t="s">
        <v>1250</v>
      </c>
      <c r="F231" s="6" t="s">
        <v>2149</v>
      </c>
      <c r="G231" s="6" t="s">
        <v>2406</v>
      </c>
      <c r="H231" s="6" t="s">
        <v>2409</v>
      </c>
      <c r="I231" s="6" t="s">
        <v>2418</v>
      </c>
      <c r="J231" s="15" t="s">
        <v>2410</v>
      </c>
      <c r="K231" s="15">
        <v>96340</v>
      </c>
      <c r="L231" s="6" t="s">
        <v>2420</v>
      </c>
      <c r="M231" s="6" t="s">
        <v>2649</v>
      </c>
      <c r="N231" s="6" t="s">
        <v>3372</v>
      </c>
      <c r="O231" s="6" t="s">
        <v>3376</v>
      </c>
      <c r="P231" s="6" t="s">
        <v>3572</v>
      </c>
      <c r="Q231" s="6">
        <v>1868.54</v>
      </c>
      <c r="R231" s="15">
        <v>12</v>
      </c>
      <c r="S231" s="20">
        <v>0.46</v>
      </c>
      <c r="T231" s="15">
        <v>-321.05</v>
      </c>
    </row>
    <row r="232" spans="1:20" x14ac:dyDescent="0.3">
      <c r="A232" s="7" t="s">
        <v>250</v>
      </c>
      <c r="B232" s="13">
        <v>43353.102106481485</v>
      </c>
      <c r="C232" s="13">
        <v>43359.102102102093</v>
      </c>
      <c r="D232" s="8" t="s">
        <v>1023</v>
      </c>
      <c r="E232" s="8" t="s">
        <v>1251</v>
      </c>
      <c r="F232" s="8" t="s">
        <v>2150</v>
      </c>
      <c r="G232" s="8" t="s">
        <v>2406</v>
      </c>
      <c r="H232" s="8" t="s">
        <v>2409</v>
      </c>
      <c r="I232" s="8" t="s">
        <v>2411</v>
      </c>
      <c r="J232" s="16" t="s">
        <v>3895</v>
      </c>
      <c r="K232" s="16">
        <v>83246</v>
      </c>
      <c r="L232" s="8" t="s">
        <v>2422</v>
      </c>
      <c r="M232" s="8" t="s">
        <v>2650</v>
      </c>
      <c r="N232" s="8" t="s">
        <v>3373</v>
      </c>
      <c r="O232" s="8" t="s">
        <v>3381</v>
      </c>
      <c r="P232" s="8" t="s">
        <v>3573</v>
      </c>
      <c r="Q232" s="8">
        <v>4614.28</v>
      </c>
      <c r="R232" s="16">
        <v>11</v>
      </c>
      <c r="S232" s="21">
        <v>0.21</v>
      </c>
      <c r="T232" s="16">
        <v>1742.03</v>
      </c>
    </row>
    <row r="233" spans="1:20" x14ac:dyDescent="0.3">
      <c r="A233" s="5" t="s">
        <v>251</v>
      </c>
      <c r="B233" s="12">
        <v>43354.198194444441</v>
      </c>
      <c r="C233" s="12">
        <v>43355.198198198203</v>
      </c>
      <c r="D233" s="6" t="s">
        <v>1021</v>
      </c>
      <c r="E233" s="6" t="s">
        <v>1252</v>
      </c>
      <c r="F233" s="6" t="s">
        <v>2151</v>
      </c>
      <c r="G233" s="6" t="s">
        <v>2408</v>
      </c>
      <c r="H233" s="6" t="s">
        <v>2409</v>
      </c>
      <c r="I233" s="6" t="s">
        <v>2413</v>
      </c>
      <c r="J233" s="15" t="s">
        <v>3894</v>
      </c>
      <c r="K233" s="15">
        <v>61760</v>
      </c>
      <c r="L233" s="6" t="s">
        <v>2421</v>
      </c>
      <c r="M233" s="6" t="s">
        <v>2651</v>
      </c>
      <c r="N233" s="6" t="s">
        <v>3372</v>
      </c>
      <c r="O233" s="6" t="s">
        <v>3384</v>
      </c>
      <c r="P233" s="6" t="s">
        <v>3574</v>
      </c>
      <c r="Q233" s="6">
        <v>172.53</v>
      </c>
      <c r="R233" s="15">
        <v>12</v>
      </c>
      <c r="S233" s="20">
        <v>0.6</v>
      </c>
      <c r="T233" s="15">
        <v>73.64</v>
      </c>
    </row>
    <row r="234" spans="1:20" x14ac:dyDescent="0.3">
      <c r="A234" s="7" t="s">
        <v>252</v>
      </c>
      <c r="B234" s="13">
        <v>43355.294293981482</v>
      </c>
      <c r="C234" s="13">
        <v>43360.294294294297</v>
      </c>
      <c r="D234" s="8" t="s">
        <v>1021</v>
      </c>
      <c r="E234" s="8" t="s">
        <v>1083</v>
      </c>
      <c r="F234" s="8" t="s">
        <v>2152</v>
      </c>
      <c r="G234" s="8" t="s">
        <v>2408</v>
      </c>
      <c r="H234" s="8" t="s">
        <v>2409</v>
      </c>
      <c r="I234" s="8" t="s">
        <v>2417</v>
      </c>
      <c r="J234" s="16" t="s">
        <v>2410</v>
      </c>
      <c r="K234" s="16">
        <v>94777</v>
      </c>
      <c r="L234" s="8" t="s">
        <v>2420</v>
      </c>
      <c r="M234" s="8" t="s">
        <v>2652</v>
      </c>
      <c r="N234" s="8" t="s">
        <v>3373</v>
      </c>
      <c r="O234" s="8" t="s">
        <v>3379</v>
      </c>
      <c r="P234" s="8" t="s">
        <v>3575</v>
      </c>
      <c r="Q234" s="8">
        <v>2853.27</v>
      </c>
      <c r="R234" s="16">
        <v>14</v>
      </c>
      <c r="S234" s="21">
        <v>0.12</v>
      </c>
      <c r="T234" s="16">
        <v>1205.53</v>
      </c>
    </row>
    <row r="235" spans="1:20" x14ac:dyDescent="0.3">
      <c r="A235" s="5" t="s">
        <v>253</v>
      </c>
      <c r="B235" s="12">
        <v>43356.390393518515</v>
      </c>
      <c r="C235" s="12">
        <v>43362.390390390377</v>
      </c>
      <c r="D235" s="6" t="s">
        <v>1021</v>
      </c>
      <c r="E235" s="6" t="s">
        <v>1253</v>
      </c>
      <c r="F235" s="6" t="s">
        <v>2134</v>
      </c>
      <c r="G235" s="6" t="s">
        <v>2407</v>
      </c>
      <c r="H235" s="6" t="s">
        <v>2409</v>
      </c>
      <c r="I235" s="6" t="s">
        <v>2411</v>
      </c>
      <c r="J235" s="15" t="s">
        <v>3891</v>
      </c>
      <c r="K235" s="15">
        <v>38214</v>
      </c>
      <c r="L235" s="6" t="s">
        <v>2421</v>
      </c>
      <c r="M235" s="6" t="s">
        <v>2653</v>
      </c>
      <c r="N235" s="6" t="s">
        <v>3372</v>
      </c>
      <c r="O235" s="6" t="s">
        <v>3378</v>
      </c>
      <c r="P235" s="6" t="s">
        <v>3576</v>
      </c>
      <c r="Q235" s="6">
        <v>2192.4899999999998</v>
      </c>
      <c r="R235" s="15">
        <v>10</v>
      </c>
      <c r="S235" s="20">
        <v>0.24</v>
      </c>
      <c r="T235" s="15">
        <v>64.900000000000006</v>
      </c>
    </row>
    <row r="236" spans="1:20" x14ac:dyDescent="0.3">
      <c r="A236" s="7" t="s">
        <v>254</v>
      </c>
      <c r="B236" s="13">
        <v>43357.486481481479</v>
      </c>
      <c r="C236" s="13">
        <v>43363.486486486479</v>
      </c>
      <c r="D236" s="8" t="s">
        <v>1020</v>
      </c>
      <c r="E236" s="8" t="s">
        <v>1254</v>
      </c>
      <c r="F236" s="8" t="s">
        <v>2153</v>
      </c>
      <c r="G236" s="8" t="s">
        <v>2407</v>
      </c>
      <c r="H236" s="8" t="s">
        <v>2409</v>
      </c>
      <c r="I236" s="8" t="s">
        <v>2413</v>
      </c>
      <c r="J236" s="16" t="s">
        <v>3891</v>
      </c>
      <c r="K236" s="16">
        <v>50711</v>
      </c>
      <c r="L236" s="8" t="s">
        <v>2421</v>
      </c>
      <c r="M236" s="8" t="s">
        <v>2654</v>
      </c>
      <c r="N236" s="8" t="s">
        <v>3371</v>
      </c>
      <c r="O236" s="8" t="s">
        <v>3382</v>
      </c>
      <c r="P236" s="8" t="s">
        <v>3577</v>
      </c>
      <c r="Q236" s="8">
        <v>3835.49</v>
      </c>
      <c r="R236" s="16">
        <v>13</v>
      </c>
      <c r="S236" s="21">
        <v>0.79</v>
      </c>
      <c r="T236" s="16">
        <v>2277.7800000000002</v>
      </c>
    </row>
    <row r="237" spans="1:20" x14ac:dyDescent="0.3">
      <c r="A237" s="5" t="s">
        <v>255</v>
      </c>
      <c r="B237" s="12">
        <v>43358.58258101852</v>
      </c>
      <c r="C237" s="12">
        <v>43364.582582582581</v>
      </c>
      <c r="D237" s="6" t="s">
        <v>1021</v>
      </c>
      <c r="E237" s="6" t="s">
        <v>1255</v>
      </c>
      <c r="F237" s="6" t="s">
        <v>2154</v>
      </c>
      <c r="G237" s="6" t="s">
        <v>2408</v>
      </c>
      <c r="H237" s="6" t="s">
        <v>2409</v>
      </c>
      <c r="I237" s="6" t="s">
        <v>2413</v>
      </c>
      <c r="J237" s="15" t="s">
        <v>3891</v>
      </c>
      <c r="K237" s="15">
        <v>89077</v>
      </c>
      <c r="L237" s="6" t="s">
        <v>2420</v>
      </c>
      <c r="M237" s="6" t="s">
        <v>2655</v>
      </c>
      <c r="N237" s="6" t="s">
        <v>3371</v>
      </c>
      <c r="O237" s="6" t="s">
        <v>3374</v>
      </c>
      <c r="P237" s="6" t="s">
        <v>3578</v>
      </c>
      <c r="Q237" s="6">
        <v>4987.01</v>
      </c>
      <c r="R237" s="15">
        <v>4</v>
      </c>
      <c r="S237" s="20">
        <v>0.8</v>
      </c>
      <c r="T237" s="15">
        <v>1913.92</v>
      </c>
    </row>
    <row r="238" spans="1:20" x14ac:dyDescent="0.3">
      <c r="A238" s="7" t="s">
        <v>256</v>
      </c>
      <c r="B238" s="13">
        <v>43359.678680555553</v>
      </c>
      <c r="C238" s="13">
        <v>43360.678678678669</v>
      </c>
      <c r="D238" s="8" t="s">
        <v>1023</v>
      </c>
      <c r="E238" s="8" t="s">
        <v>1256</v>
      </c>
      <c r="F238" s="8" t="s">
        <v>2148</v>
      </c>
      <c r="G238" s="8" t="s">
        <v>2408</v>
      </c>
      <c r="H238" s="8" t="s">
        <v>2409</v>
      </c>
      <c r="I238" s="8" t="s">
        <v>2416</v>
      </c>
      <c r="J238" s="16" t="s">
        <v>3893</v>
      </c>
      <c r="K238" s="16">
        <v>66412</v>
      </c>
      <c r="L238" s="8" t="s">
        <v>2419</v>
      </c>
      <c r="M238" s="8" t="s">
        <v>2656</v>
      </c>
      <c r="N238" s="8" t="s">
        <v>3373</v>
      </c>
      <c r="O238" s="8" t="s">
        <v>3385</v>
      </c>
      <c r="P238" s="8" t="s">
        <v>3579</v>
      </c>
      <c r="Q238" s="8">
        <v>4621.84</v>
      </c>
      <c r="R238" s="16">
        <v>11</v>
      </c>
      <c r="S238" s="21">
        <v>0.79</v>
      </c>
      <c r="T238" s="16">
        <v>2042.05</v>
      </c>
    </row>
    <row r="239" spans="1:20" x14ac:dyDescent="0.3">
      <c r="A239" s="5" t="s">
        <v>257</v>
      </c>
      <c r="B239" s="12">
        <v>43360.774780092594</v>
      </c>
      <c r="C239" s="12">
        <v>43363.774774774771</v>
      </c>
      <c r="D239" s="6" t="s">
        <v>1020</v>
      </c>
      <c r="E239" s="6" t="s">
        <v>1257</v>
      </c>
      <c r="F239" s="6" t="s">
        <v>2155</v>
      </c>
      <c r="G239" s="6" t="s">
        <v>2408</v>
      </c>
      <c r="H239" s="6" t="s">
        <v>2409</v>
      </c>
      <c r="I239" s="6" t="s">
        <v>2415</v>
      </c>
      <c r="J239" s="15" t="s">
        <v>3891</v>
      </c>
      <c r="K239" s="15">
        <v>65273</v>
      </c>
      <c r="L239" s="6" t="s">
        <v>2421</v>
      </c>
      <c r="M239" s="6" t="s">
        <v>2657</v>
      </c>
      <c r="N239" s="6" t="s">
        <v>3371</v>
      </c>
      <c r="O239" s="6" t="s">
        <v>3375</v>
      </c>
      <c r="P239" s="6" t="s">
        <v>3580</v>
      </c>
      <c r="Q239" s="6">
        <v>4788.59</v>
      </c>
      <c r="R239" s="15">
        <v>5</v>
      </c>
      <c r="S239" s="20">
        <v>0.47</v>
      </c>
      <c r="T239" s="15">
        <v>-396.11</v>
      </c>
    </row>
    <row r="240" spans="1:20" x14ac:dyDescent="0.3">
      <c r="A240" s="7" t="s">
        <v>258</v>
      </c>
      <c r="B240" s="13">
        <v>43361.870868055557</v>
      </c>
      <c r="C240" s="13">
        <v>43362.870870870873</v>
      </c>
      <c r="D240" s="8" t="s">
        <v>1023</v>
      </c>
      <c r="E240" s="8" t="s">
        <v>1258</v>
      </c>
      <c r="F240" s="8" t="s">
        <v>2058</v>
      </c>
      <c r="G240" s="8" t="s">
        <v>2408</v>
      </c>
      <c r="H240" s="8" t="s">
        <v>2409</v>
      </c>
      <c r="I240" s="8" t="s">
        <v>2418</v>
      </c>
      <c r="J240" s="16" t="s">
        <v>2410</v>
      </c>
      <c r="K240" s="16">
        <v>46101</v>
      </c>
      <c r="L240" s="8" t="s">
        <v>2421</v>
      </c>
      <c r="M240" s="8" t="s">
        <v>2658</v>
      </c>
      <c r="N240" s="8" t="s">
        <v>3371</v>
      </c>
      <c r="O240" s="8" t="s">
        <v>3375</v>
      </c>
      <c r="P240" s="8" t="s">
        <v>3581</v>
      </c>
      <c r="Q240" s="8">
        <v>2521.31</v>
      </c>
      <c r="R240" s="16">
        <v>5</v>
      </c>
      <c r="S240" s="21">
        <v>0.79</v>
      </c>
      <c r="T240" s="16">
        <v>-438.34</v>
      </c>
    </row>
    <row r="241" spans="1:20" x14ac:dyDescent="0.3">
      <c r="A241" s="5" t="s">
        <v>259</v>
      </c>
      <c r="B241" s="12">
        <v>43362.966967592591</v>
      </c>
      <c r="C241" s="12">
        <v>43364.966966966953</v>
      </c>
      <c r="D241" s="6" t="s">
        <v>1023</v>
      </c>
      <c r="E241" s="6" t="s">
        <v>1259</v>
      </c>
      <c r="F241" s="6" t="s">
        <v>2156</v>
      </c>
      <c r="G241" s="6" t="s">
        <v>2407</v>
      </c>
      <c r="H241" s="6" t="s">
        <v>2409</v>
      </c>
      <c r="I241" s="6" t="s">
        <v>2413</v>
      </c>
      <c r="J241" s="15" t="s">
        <v>3895</v>
      </c>
      <c r="K241" s="15">
        <v>25503</v>
      </c>
      <c r="L241" s="6" t="s">
        <v>2420</v>
      </c>
      <c r="M241" s="6" t="s">
        <v>2659</v>
      </c>
      <c r="N241" s="6" t="s">
        <v>3373</v>
      </c>
      <c r="O241" s="6" t="s">
        <v>3380</v>
      </c>
      <c r="P241" s="6" t="s">
        <v>3582</v>
      </c>
      <c r="Q241" s="6">
        <v>4401.17</v>
      </c>
      <c r="R241" s="15">
        <v>4</v>
      </c>
      <c r="S241" s="20">
        <v>0.02</v>
      </c>
      <c r="T241" s="15">
        <v>1751.64</v>
      </c>
    </row>
    <row r="242" spans="1:20" x14ac:dyDescent="0.3">
      <c r="A242" s="7" t="s">
        <v>260</v>
      </c>
      <c r="B242" s="13">
        <v>43364.063067129631</v>
      </c>
      <c r="C242" s="13">
        <v>43366.063063063048</v>
      </c>
      <c r="D242" s="8" t="s">
        <v>1020</v>
      </c>
      <c r="E242" s="8" t="s">
        <v>1260</v>
      </c>
      <c r="F242" s="8" t="s">
        <v>2157</v>
      </c>
      <c r="G242" s="8" t="s">
        <v>2406</v>
      </c>
      <c r="H242" s="8" t="s">
        <v>2409</v>
      </c>
      <c r="I242" s="8" t="s">
        <v>2417</v>
      </c>
      <c r="J242" s="16" t="s">
        <v>3896</v>
      </c>
      <c r="K242" s="16">
        <v>90794</v>
      </c>
      <c r="L242" s="8" t="s">
        <v>2419</v>
      </c>
      <c r="M242" s="8" t="s">
        <v>2660</v>
      </c>
      <c r="N242" s="8" t="s">
        <v>3373</v>
      </c>
      <c r="O242" s="8" t="s">
        <v>3381</v>
      </c>
      <c r="P242" s="8" t="s">
        <v>3583</v>
      </c>
      <c r="Q242" s="8">
        <v>870.17</v>
      </c>
      <c r="R242" s="16">
        <v>14</v>
      </c>
      <c r="S242" s="21">
        <v>0.18</v>
      </c>
      <c r="T242" s="16">
        <v>310.04000000000002</v>
      </c>
    </row>
    <row r="243" spans="1:20" x14ac:dyDescent="0.3">
      <c r="A243" s="5" t="s">
        <v>261</v>
      </c>
      <c r="B243" s="12">
        <v>43365.159155092595</v>
      </c>
      <c r="C243" s="12">
        <v>43368.159159159157</v>
      </c>
      <c r="D243" s="6" t="s">
        <v>1023</v>
      </c>
      <c r="E243" s="6" t="s">
        <v>1261</v>
      </c>
      <c r="F243" s="6" t="s">
        <v>2154</v>
      </c>
      <c r="G243" s="6" t="s">
        <v>2406</v>
      </c>
      <c r="H243" s="6" t="s">
        <v>2409</v>
      </c>
      <c r="I243" s="6" t="s">
        <v>2415</v>
      </c>
      <c r="J243" s="15" t="s">
        <v>3894</v>
      </c>
      <c r="K243" s="15">
        <v>28537</v>
      </c>
      <c r="L243" s="6" t="s">
        <v>2419</v>
      </c>
      <c r="M243" s="6" t="s">
        <v>2661</v>
      </c>
      <c r="N243" s="6" t="s">
        <v>3371</v>
      </c>
      <c r="O243" s="6" t="s">
        <v>3374</v>
      </c>
      <c r="P243" s="6" t="s">
        <v>3584</v>
      </c>
      <c r="Q243" s="6">
        <v>1980.29</v>
      </c>
      <c r="R243" s="15">
        <v>10</v>
      </c>
      <c r="S243" s="20">
        <v>0.32</v>
      </c>
      <c r="T243" s="15">
        <v>-58.95</v>
      </c>
    </row>
    <row r="244" spans="1:20" x14ac:dyDescent="0.3">
      <c r="A244" s="7" t="s">
        <v>262</v>
      </c>
      <c r="B244" s="13">
        <v>43366.255254629628</v>
      </c>
      <c r="C244" s="13">
        <v>43368.255255255252</v>
      </c>
      <c r="D244" s="8" t="s">
        <v>1023</v>
      </c>
      <c r="E244" s="8" t="s">
        <v>1262</v>
      </c>
      <c r="F244" s="8" t="s">
        <v>2158</v>
      </c>
      <c r="G244" s="8" t="s">
        <v>2408</v>
      </c>
      <c r="H244" s="8" t="s">
        <v>2409</v>
      </c>
      <c r="I244" s="8" t="s">
        <v>2414</v>
      </c>
      <c r="J244" s="16" t="s">
        <v>3892</v>
      </c>
      <c r="K244" s="16">
        <v>55568</v>
      </c>
      <c r="L244" s="8" t="s">
        <v>2419</v>
      </c>
      <c r="M244" s="8" t="s">
        <v>2662</v>
      </c>
      <c r="N244" s="8" t="s">
        <v>3373</v>
      </c>
      <c r="O244" s="8" t="s">
        <v>3381</v>
      </c>
      <c r="P244" s="8" t="s">
        <v>3568</v>
      </c>
      <c r="Q244" s="8">
        <v>4593.34</v>
      </c>
      <c r="R244" s="16">
        <v>8</v>
      </c>
      <c r="S244" s="21">
        <v>0.06</v>
      </c>
      <c r="T244" s="16">
        <v>-882.41</v>
      </c>
    </row>
    <row r="245" spans="1:20" x14ac:dyDescent="0.3">
      <c r="A245" s="5" t="s">
        <v>263</v>
      </c>
      <c r="B245" s="12">
        <v>43367.351354166669</v>
      </c>
      <c r="C245" s="12">
        <v>43371.351351351339</v>
      </c>
      <c r="D245" s="6" t="s">
        <v>1020</v>
      </c>
      <c r="E245" s="6" t="s">
        <v>1263</v>
      </c>
      <c r="F245" s="6" t="s">
        <v>2159</v>
      </c>
      <c r="G245" s="6" t="s">
        <v>2406</v>
      </c>
      <c r="H245" s="6" t="s">
        <v>2409</v>
      </c>
      <c r="I245" s="6" t="s">
        <v>2411</v>
      </c>
      <c r="J245" s="15" t="s">
        <v>3898</v>
      </c>
      <c r="K245" s="15">
        <v>40099</v>
      </c>
      <c r="L245" s="6" t="s">
        <v>2422</v>
      </c>
      <c r="M245" s="6" t="s">
        <v>2663</v>
      </c>
      <c r="N245" s="6" t="s">
        <v>3373</v>
      </c>
      <c r="O245" s="6" t="s">
        <v>3381</v>
      </c>
      <c r="P245" s="6" t="s">
        <v>3585</v>
      </c>
      <c r="Q245" s="6">
        <v>2118.12</v>
      </c>
      <c r="R245" s="15">
        <v>13</v>
      </c>
      <c r="S245" s="20">
        <v>0.53</v>
      </c>
      <c r="T245" s="15">
        <v>1106.74</v>
      </c>
    </row>
    <row r="246" spans="1:20" x14ac:dyDescent="0.3">
      <c r="A246" s="7" t="s">
        <v>264</v>
      </c>
      <c r="B246" s="13">
        <v>43368.447442129633</v>
      </c>
      <c r="C246" s="13">
        <v>43369.447447447441</v>
      </c>
      <c r="D246" s="8" t="s">
        <v>1021</v>
      </c>
      <c r="E246" s="8" t="s">
        <v>1264</v>
      </c>
      <c r="F246" s="8" t="s">
        <v>2160</v>
      </c>
      <c r="G246" s="8" t="s">
        <v>2408</v>
      </c>
      <c r="H246" s="8" t="s">
        <v>2409</v>
      </c>
      <c r="I246" s="8" t="s">
        <v>2418</v>
      </c>
      <c r="J246" s="16" t="s">
        <v>3895</v>
      </c>
      <c r="K246" s="16">
        <v>63280</v>
      </c>
      <c r="L246" s="8" t="s">
        <v>2420</v>
      </c>
      <c r="M246" s="8" t="s">
        <v>2664</v>
      </c>
      <c r="N246" s="8" t="s">
        <v>3371</v>
      </c>
      <c r="O246" s="8" t="s">
        <v>3375</v>
      </c>
      <c r="P246" s="8" t="s">
        <v>3586</v>
      </c>
      <c r="Q246" s="8">
        <v>3853.38</v>
      </c>
      <c r="R246" s="16">
        <v>3</v>
      </c>
      <c r="S246" s="21">
        <v>0.68</v>
      </c>
      <c r="T246" s="16">
        <v>309.42</v>
      </c>
    </row>
    <row r="247" spans="1:20" x14ac:dyDescent="0.3">
      <c r="A247" s="5" t="s">
        <v>265</v>
      </c>
      <c r="B247" s="12">
        <v>43369.543541666666</v>
      </c>
      <c r="C247" s="12">
        <v>43372.543543543543</v>
      </c>
      <c r="D247" s="6" t="s">
        <v>1021</v>
      </c>
      <c r="E247" s="6" t="s">
        <v>1265</v>
      </c>
      <c r="F247" s="6" t="s">
        <v>2139</v>
      </c>
      <c r="G247" s="6" t="s">
        <v>2408</v>
      </c>
      <c r="H247" s="6" t="s">
        <v>2409</v>
      </c>
      <c r="I247" s="6" t="s">
        <v>2416</v>
      </c>
      <c r="J247" s="15" t="s">
        <v>3896</v>
      </c>
      <c r="K247" s="15">
        <v>44567</v>
      </c>
      <c r="L247" s="6" t="s">
        <v>2421</v>
      </c>
      <c r="M247" s="6" t="s">
        <v>2665</v>
      </c>
      <c r="N247" s="6" t="s">
        <v>3372</v>
      </c>
      <c r="O247" s="6" t="s">
        <v>3377</v>
      </c>
      <c r="P247" s="6" t="s">
        <v>3587</v>
      </c>
      <c r="Q247" s="6">
        <v>2383.44</v>
      </c>
      <c r="R247" s="15">
        <v>2</v>
      </c>
      <c r="S247" s="20">
        <v>0.12</v>
      </c>
      <c r="T247" s="15">
        <v>823.62</v>
      </c>
    </row>
    <row r="248" spans="1:20" x14ac:dyDescent="0.3">
      <c r="A248" s="7" t="s">
        <v>266</v>
      </c>
      <c r="B248" s="13">
        <v>43370.639641203707</v>
      </c>
      <c r="C248" s="13">
        <v>43375.63963963963</v>
      </c>
      <c r="D248" s="8" t="s">
        <v>1021</v>
      </c>
      <c r="E248" s="8" t="s">
        <v>1266</v>
      </c>
      <c r="F248" s="8" t="s">
        <v>2038</v>
      </c>
      <c r="G248" s="8" t="s">
        <v>2407</v>
      </c>
      <c r="H248" s="8" t="s">
        <v>2409</v>
      </c>
      <c r="I248" s="8" t="s">
        <v>2414</v>
      </c>
      <c r="J248" s="16" t="s">
        <v>3896</v>
      </c>
      <c r="K248" s="16">
        <v>51722</v>
      </c>
      <c r="L248" s="8" t="s">
        <v>2419</v>
      </c>
      <c r="M248" s="8" t="s">
        <v>2666</v>
      </c>
      <c r="N248" s="8" t="s">
        <v>3372</v>
      </c>
      <c r="O248" s="8" t="s">
        <v>3377</v>
      </c>
      <c r="P248" s="8" t="s">
        <v>3588</v>
      </c>
      <c r="Q248" s="8">
        <v>2481.23</v>
      </c>
      <c r="R248" s="16">
        <v>13</v>
      </c>
      <c r="S248" s="21">
        <v>0.86</v>
      </c>
      <c r="T248" s="16">
        <v>1305.7</v>
      </c>
    </row>
    <row r="249" spans="1:20" x14ac:dyDescent="0.3">
      <c r="A249" s="5" t="s">
        <v>267</v>
      </c>
      <c r="B249" s="12">
        <v>43371.73574074074</v>
      </c>
      <c r="C249" s="12">
        <v>43376.735735735732</v>
      </c>
      <c r="D249" s="6" t="s">
        <v>1023</v>
      </c>
      <c r="E249" s="6" t="s">
        <v>1267</v>
      </c>
      <c r="F249" s="6" t="s">
        <v>2106</v>
      </c>
      <c r="G249" s="6" t="s">
        <v>2407</v>
      </c>
      <c r="H249" s="6" t="s">
        <v>2409</v>
      </c>
      <c r="I249" s="6" t="s">
        <v>2417</v>
      </c>
      <c r="J249" s="15" t="s">
        <v>3897</v>
      </c>
      <c r="K249" s="15">
        <v>84414</v>
      </c>
      <c r="L249" s="6" t="s">
        <v>2421</v>
      </c>
      <c r="M249" s="6" t="s">
        <v>2667</v>
      </c>
      <c r="N249" s="6" t="s">
        <v>3371</v>
      </c>
      <c r="O249" s="6" t="s">
        <v>3374</v>
      </c>
      <c r="P249" s="6" t="s">
        <v>3589</v>
      </c>
      <c r="Q249" s="6">
        <v>4504.88</v>
      </c>
      <c r="R249" s="15">
        <v>7</v>
      </c>
      <c r="S249" s="20">
        <v>0.72</v>
      </c>
      <c r="T249" s="15">
        <v>1332.92</v>
      </c>
    </row>
    <row r="250" spans="1:20" x14ac:dyDescent="0.3">
      <c r="A250" s="7" t="s">
        <v>268</v>
      </c>
      <c r="B250" s="13">
        <v>43372.831828703704</v>
      </c>
      <c r="C250" s="13">
        <v>43377.831831831827</v>
      </c>
      <c r="D250" s="8" t="s">
        <v>1023</v>
      </c>
      <c r="E250" s="8" t="s">
        <v>1268</v>
      </c>
      <c r="F250" s="8" t="s">
        <v>2161</v>
      </c>
      <c r="G250" s="8" t="s">
        <v>2407</v>
      </c>
      <c r="H250" s="8" t="s">
        <v>2409</v>
      </c>
      <c r="I250" s="8" t="s">
        <v>2415</v>
      </c>
      <c r="J250" s="16" t="s">
        <v>3892</v>
      </c>
      <c r="K250" s="16">
        <v>79189</v>
      </c>
      <c r="L250" s="8" t="s">
        <v>2420</v>
      </c>
      <c r="M250" s="8" t="s">
        <v>2668</v>
      </c>
      <c r="N250" s="8" t="s">
        <v>3372</v>
      </c>
      <c r="O250" s="8" t="s">
        <v>3384</v>
      </c>
      <c r="P250" s="8" t="s">
        <v>3590</v>
      </c>
      <c r="Q250" s="8">
        <v>3885.62</v>
      </c>
      <c r="R250" s="16">
        <v>4</v>
      </c>
      <c r="S250" s="21">
        <v>0.09</v>
      </c>
      <c r="T250" s="16">
        <v>-563.39</v>
      </c>
    </row>
    <row r="251" spans="1:20" x14ac:dyDescent="0.3">
      <c r="A251" s="5" t="s">
        <v>269</v>
      </c>
      <c r="B251" s="12">
        <v>43373.927928240744</v>
      </c>
      <c r="C251" s="12">
        <v>43376.927927927907</v>
      </c>
      <c r="D251" s="6" t="s">
        <v>1023</v>
      </c>
      <c r="E251" s="6" t="s">
        <v>1269</v>
      </c>
      <c r="F251" s="6" t="s">
        <v>2162</v>
      </c>
      <c r="G251" s="6" t="s">
        <v>2408</v>
      </c>
      <c r="H251" s="6" t="s">
        <v>2409</v>
      </c>
      <c r="I251" s="6" t="s">
        <v>2413</v>
      </c>
      <c r="J251" s="15" t="s">
        <v>3896</v>
      </c>
      <c r="K251" s="15">
        <v>92213</v>
      </c>
      <c r="L251" s="6" t="s">
        <v>2421</v>
      </c>
      <c r="M251" s="6" t="s">
        <v>2669</v>
      </c>
      <c r="N251" s="6" t="s">
        <v>3373</v>
      </c>
      <c r="O251" s="6" t="s">
        <v>3379</v>
      </c>
      <c r="P251" s="6" t="s">
        <v>3591</v>
      </c>
      <c r="Q251" s="6">
        <v>320.27999999999997</v>
      </c>
      <c r="R251" s="15">
        <v>7</v>
      </c>
      <c r="S251" s="20">
        <v>0.62</v>
      </c>
      <c r="T251" s="15">
        <v>69.72</v>
      </c>
    </row>
    <row r="252" spans="1:20" x14ac:dyDescent="0.3">
      <c r="A252" s="7" t="s">
        <v>270</v>
      </c>
      <c r="B252" s="13">
        <v>43375.024027777778</v>
      </c>
      <c r="C252" s="13">
        <v>43378.024024024016</v>
      </c>
      <c r="D252" s="8" t="s">
        <v>1022</v>
      </c>
      <c r="E252" s="8" t="s">
        <v>1270</v>
      </c>
      <c r="F252" s="8" t="s">
        <v>2031</v>
      </c>
      <c r="G252" s="8" t="s">
        <v>2408</v>
      </c>
      <c r="H252" s="8" t="s">
        <v>2409</v>
      </c>
      <c r="I252" s="8" t="s">
        <v>2410</v>
      </c>
      <c r="J252" s="16" t="s">
        <v>3895</v>
      </c>
      <c r="K252" s="16">
        <v>96362</v>
      </c>
      <c r="L252" s="8" t="s">
        <v>2419</v>
      </c>
      <c r="M252" s="8" t="s">
        <v>2670</v>
      </c>
      <c r="N252" s="8" t="s">
        <v>3373</v>
      </c>
      <c r="O252" s="8" t="s">
        <v>3380</v>
      </c>
      <c r="P252" s="8" t="s">
        <v>3592</v>
      </c>
      <c r="Q252" s="8">
        <v>525.85</v>
      </c>
      <c r="R252" s="16">
        <v>10</v>
      </c>
      <c r="S252" s="21">
        <v>0.27</v>
      </c>
      <c r="T252" s="16">
        <v>145.96</v>
      </c>
    </row>
    <row r="253" spans="1:20" x14ac:dyDescent="0.3">
      <c r="A253" s="5" t="s">
        <v>271</v>
      </c>
      <c r="B253" s="12">
        <v>43376.120115740741</v>
      </c>
      <c r="C253" s="12">
        <v>43378.120120120118</v>
      </c>
      <c r="D253" s="6" t="s">
        <v>1020</v>
      </c>
      <c r="E253" s="6" t="s">
        <v>1271</v>
      </c>
      <c r="F253" s="6" t="s">
        <v>2163</v>
      </c>
      <c r="G253" s="6" t="s">
        <v>2408</v>
      </c>
      <c r="H253" s="6" t="s">
        <v>2409</v>
      </c>
      <c r="I253" s="6" t="s">
        <v>2418</v>
      </c>
      <c r="J253" s="15" t="s">
        <v>3897</v>
      </c>
      <c r="K253" s="15">
        <v>10036</v>
      </c>
      <c r="L253" s="6" t="s">
        <v>2421</v>
      </c>
      <c r="M253" s="6" t="s">
        <v>2671</v>
      </c>
      <c r="N253" s="6" t="s">
        <v>3371</v>
      </c>
      <c r="O253" s="6" t="s">
        <v>3374</v>
      </c>
      <c r="P253" s="6" t="s">
        <v>3593</v>
      </c>
      <c r="Q253" s="6">
        <v>4689.6499999999996</v>
      </c>
      <c r="R253" s="15">
        <v>10</v>
      </c>
      <c r="S253" s="20">
        <v>0.17</v>
      </c>
      <c r="T253" s="15">
        <v>2649.7</v>
      </c>
    </row>
    <row r="254" spans="1:20" x14ac:dyDescent="0.3">
      <c r="A254" s="7" t="s">
        <v>272</v>
      </c>
      <c r="B254" s="13">
        <v>43377.216215277775</v>
      </c>
      <c r="C254" s="13">
        <v>43381.216216216213</v>
      </c>
      <c r="D254" s="8" t="s">
        <v>1021</v>
      </c>
      <c r="E254" s="8" t="s">
        <v>1272</v>
      </c>
      <c r="F254" s="8" t="s">
        <v>2164</v>
      </c>
      <c r="G254" s="8" t="s">
        <v>2408</v>
      </c>
      <c r="H254" s="8" t="s">
        <v>2409</v>
      </c>
      <c r="I254" s="8" t="s">
        <v>2411</v>
      </c>
      <c r="J254" s="16" t="s">
        <v>3897</v>
      </c>
      <c r="K254" s="16">
        <v>68272</v>
      </c>
      <c r="L254" s="8" t="s">
        <v>2419</v>
      </c>
      <c r="M254" s="8" t="s">
        <v>2672</v>
      </c>
      <c r="N254" s="8" t="s">
        <v>3372</v>
      </c>
      <c r="O254" s="8" t="s">
        <v>3384</v>
      </c>
      <c r="P254" s="8" t="s">
        <v>3594</v>
      </c>
      <c r="Q254" s="8">
        <v>1667.99</v>
      </c>
      <c r="R254" s="16">
        <v>14</v>
      </c>
      <c r="S254" s="21">
        <v>0.16</v>
      </c>
      <c r="T254" s="16">
        <v>391</v>
      </c>
    </row>
    <row r="255" spans="1:20" x14ac:dyDescent="0.3">
      <c r="A255" s="5" t="s">
        <v>273</v>
      </c>
      <c r="B255" s="12">
        <v>43378.312314814815</v>
      </c>
      <c r="C255" s="12">
        <v>43384.3123123123</v>
      </c>
      <c r="D255" s="6" t="s">
        <v>1021</v>
      </c>
      <c r="E255" s="6" t="s">
        <v>1273</v>
      </c>
      <c r="F255" s="6" t="s">
        <v>2165</v>
      </c>
      <c r="G255" s="6" t="s">
        <v>2407</v>
      </c>
      <c r="H255" s="6" t="s">
        <v>2409</v>
      </c>
      <c r="I255" s="6" t="s">
        <v>2416</v>
      </c>
      <c r="J255" s="15" t="s">
        <v>3894</v>
      </c>
      <c r="K255" s="15">
        <v>69655</v>
      </c>
      <c r="L255" s="6" t="s">
        <v>2420</v>
      </c>
      <c r="M255" s="6" t="s">
        <v>2673</v>
      </c>
      <c r="N255" s="6" t="s">
        <v>3371</v>
      </c>
      <c r="O255" s="6" t="s">
        <v>3383</v>
      </c>
      <c r="P255" s="6" t="s">
        <v>3595</v>
      </c>
      <c r="Q255" s="6">
        <v>253.57</v>
      </c>
      <c r="R255" s="15">
        <v>8</v>
      </c>
      <c r="S255" s="20">
        <v>0.54</v>
      </c>
      <c r="T255" s="15">
        <v>24.66</v>
      </c>
    </row>
    <row r="256" spans="1:20" x14ac:dyDescent="0.3">
      <c r="A256" s="7" t="s">
        <v>274</v>
      </c>
      <c r="B256" s="13">
        <v>43379.408402777779</v>
      </c>
      <c r="C256" s="13">
        <v>43381.408408408402</v>
      </c>
      <c r="D256" s="8" t="s">
        <v>1023</v>
      </c>
      <c r="E256" s="8" t="s">
        <v>1274</v>
      </c>
      <c r="F256" s="8" t="s">
        <v>2166</v>
      </c>
      <c r="G256" s="8" t="s">
        <v>2406</v>
      </c>
      <c r="H256" s="8" t="s">
        <v>2409</v>
      </c>
      <c r="I256" s="8" t="s">
        <v>2418</v>
      </c>
      <c r="J256" s="16" t="s">
        <v>2410</v>
      </c>
      <c r="K256" s="16">
        <v>58729</v>
      </c>
      <c r="L256" s="8" t="s">
        <v>2420</v>
      </c>
      <c r="M256" s="8" t="s">
        <v>2674</v>
      </c>
      <c r="N256" s="8" t="s">
        <v>3371</v>
      </c>
      <c r="O256" s="8" t="s">
        <v>3382</v>
      </c>
      <c r="P256" s="8" t="s">
        <v>3497</v>
      </c>
      <c r="Q256" s="8">
        <v>4340.3999999999996</v>
      </c>
      <c r="R256" s="16">
        <v>10</v>
      </c>
      <c r="S256" s="21">
        <v>0.89</v>
      </c>
      <c r="T256" s="16">
        <v>761.24</v>
      </c>
    </row>
    <row r="257" spans="1:20" x14ac:dyDescent="0.3">
      <c r="A257" s="5" t="s">
        <v>275</v>
      </c>
      <c r="B257" s="12">
        <v>43380.504502314812</v>
      </c>
      <c r="C257" s="12">
        <v>43384.504504504497</v>
      </c>
      <c r="D257" s="6" t="s">
        <v>1022</v>
      </c>
      <c r="E257" s="6" t="s">
        <v>1275</v>
      </c>
      <c r="F257" s="6" t="s">
        <v>2167</v>
      </c>
      <c r="G257" s="6" t="s">
        <v>2407</v>
      </c>
      <c r="H257" s="6" t="s">
        <v>2409</v>
      </c>
      <c r="I257" s="6" t="s">
        <v>2416</v>
      </c>
      <c r="J257" s="15" t="s">
        <v>2410</v>
      </c>
      <c r="K257" s="15">
        <v>52036</v>
      </c>
      <c r="L257" s="6" t="s">
        <v>2419</v>
      </c>
      <c r="M257" s="6" t="s">
        <v>2675</v>
      </c>
      <c r="N257" s="6" t="s">
        <v>3373</v>
      </c>
      <c r="O257" s="6" t="s">
        <v>3381</v>
      </c>
      <c r="P257" s="6" t="s">
        <v>3511</v>
      </c>
      <c r="Q257" s="6">
        <v>1363.31</v>
      </c>
      <c r="R257" s="15">
        <v>12</v>
      </c>
      <c r="S257" s="20">
        <v>0.08</v>
      </c>
      <c r="T257" s="15">
        <v>74.97</v>
      </c>
    </row>
    <row r="258" spans="1:20" x14ac:dyDescent="0.3">
      <c r="A258" s="7" t="s">
        <v>276</v>
      </c>
      <c r="B258" s="13">
        <v>43381.600601851853</v>
      </c>
      <c r="C258" s="13">
        <v>43387.600600600592</v>
      </c>
      <c r="D258" s="8" t="s">
        <v>1023</v>
      </c>
      <c r="E258" s="8" t="s">
        <v>1276</v>
      </c>
      <c r="F258" s="8" t="s">
        <v>1996</v>
      </c>
      <c r="G258" s="8" t="s">
        <v>2406</v>
      </c>
      <c r="H258" s="8" t="s">
        <v>2409</v>
      </c>
      <c r="I258" s="8" t="s">
        <v>2410</v>
      </c>
      <c r="J258" s="16" t="s">
        <v>3897</v>
      </c>
      <c r="K258" s="16">
        <v>92909</v>
      </c>
      <c r="L258" s="8" t="s">
        <v>2422</v>
      </c>
      <c r="M258" s="8" t="s">
        <v>2676</v>
      </c>
      <c r="N258" s="8" t="s">
        <v>3371</v>
      </c>
      <c r="O258" s="8" t="s">
        <v>3374</v>
      </c>
      <c r="P258" s="8" t="s">
        <v>3596</v>
      </c>
      <c r="Q258" s="8">
        <v>3627.79</v>
      </c>
      <c r="R258" s="16">
        <v>4</v>
      </c>
      <c r="S258" s="21">
        <v>0.13</v>
      </c>
      <c r="T258" s="16">
        <v>-240.16</v>
      </c>
    </row>
    <row r="259" spans="1:20" x14ac:dyDescent="0.3">
      <c r="A259" s="5" t="s">
        <v>277</v>
      </c>
      <c r="B259" s="12">
        <v>43382.696701388886</v>
      </c>
      <c r="C259" s="12">
        <v>43386.696696696687</v>
      </c>
      <c r="D259" s="6" t="s">
        <v>1021</v>
      </c>
      <c r="E259" s="6" t="s">
        <v>1277</v>
      </c>
      <c r="F259" s="6" t="s">
        <v>2168</v>
      </c>
      <c r="G259" s="6" t="s">
        <v>2408</v>
      </c>
      <c r="H259" s="6" t="s">
        <v>2409</v>
      </c>
      <c r="I259" s="6" t="s">
        <v>2417</v>
      </c>
      <c r="J259" s="15" t="s">
        <v>2410</v>
      </c>
      <c r="K259" s="15">
        <v>23353</v>
      </c>
      <c r="L259" s="6" t="s">
        <v>2419</v>
      </c>
      <c r="M259" s="6" t="s">
        <v>2677</v>
      </c>
      <c r="N259" s="6" t="s">
        <v>3372</v>
      </c>
      <c r="O259" s="6" t="s">
        <v>3376</v>
      </c>
      <c r="P259" s="6" t="s">
        <v>3597</v>
      </c>
      <c r="Q259" s="6">
        <v>1685.35</v>
      </c>
      <c r="R259" s="15">
        <v>14</v>
      </c>
      <c r="S259" s="20">
        <v>0.48</v>
      </c>
      <c r="T259" s="15">
        <v>891.21</v>
      </c>
    </row>
    <row r="260" spans="1:20" x14ac:dyDescent="0.3">
      <c r="A260" s="7" t="s">
        <v>278</v>
      </c>
      <c r="B260" s="13">
        <v>43383.79278935185</v>
      </c>
      <c r="C260" s="13">
        <v>43385.792792792789</v>
      </c>
      <c r="D260" s="8" t="s">
        <v>1022</v>
      </c>
      <c r="E260" s="8" t="s">
        <v>1179</v>
      </c>
      <c r="F260" s="8" t="s">
        <v>2121</v>
      </c>
      <c r="G260" s="8" t="s">
        <v>2407</v>
      </c>
      <c r="H260" s="8" t="s">
        <v>2409</v>
      </c>
      <c r="I260" s="8" t="s">
        <v>2414</v>
      </c>
      <c r="J260" s="16" t="s">
        <v>3897</v>
      </c>
      <c r="K260" s="16">
        <v>68384</v>
      </c>
      <c r="L260" s="8" t="s">
        <v>2420</v>
      </c>
      <c r="M260" s="8" t="s">
        <v>2678</v>
      </c>
      <c r="N260" s="8" t="s">
        <v>3371</v>
      </c>
      <c r="O260" s="8" t="s">
        <v>3383</v>
      </c>
      <c r="P260" s="8" t="s">
        <v>3481</v>
      </c>
      <c r="Q260" s="8">
        <v>2698.6</v>
      </c>
      <c r="R260" s="16">
        <v>5</v>
      </c>
      <c r="S260" s="21">
        <v>7.0000000000000007E-2</v>
      </c>
      <c r="T260" s="16">
        <v>618.54</v>
      </c>
    </row>
    <row r="261" spans="1:20" x14ac:dyDescent="0.3">
      <c r="A261" s="5" t="s">
        <v>279</v>
      </c>
      <c r="B261" s="12">
        <v>43384.888888888891</v>
      </c>
      <c r="C261" s="12">
        <v>43388.888888888891</v>
      </c>
      <c r="D261" s="6" t="s">
        <v>1023</v>
      </c>
      <c r="E261" s="6" t="s">
        <v>1278</v>
      </c>
      <c r="F261" s="6" t="s">
        <v>2169</v>
      </c>
      <c r="G261" s="6" t="s">
        <v>2407</v>
      </c>
      <c r="H261" s="6" t="s">
        <v>2409</v>
      </c>
      <c r="I261" s="6" t="s">
        <v>2416</v>
      </c>
      <c r="J261" s="15" t="s">
        <v>3898</v>
      </c>
      <c r="K261" s="15">
        <v>67811</v>
      </c>
      <c r="L261" s="6" t="s">
        <v>2421</v>
      </c>
      <c r="M261" s="6" t="s">
        <v>2679</v>
      </c>
      <c r="N261" s="6" t="s">
        <v>3371</v>
      </c>
      <c r="O261" s="6" t="s">
        <v>3375</v>
      </c>
      <c r="P261" s="6" t="s">
        <v>3598</v>
      </c>
      <c r="Q261" s="6">
        <v>322.14</v>
      </c>
      <c r="R261" s="15">
        <v>7</v>
      </c>
      <c r="S261" s="20">
        <v>0.37</v>
      </c>
      <c r="T261" s="15">
        <v>66.03</v>
      </c>
    </row>
    <row r="262" spans="1:20" x14ac:dyDescent="0.3">
      <c r="A262" s="7" t="s">
        <v>280</v>
      </c>
      <c r="B262" s="13">
        <v>43385.984988425924</v>
      </c>
      <c r="C262" s="13">
        <v>43391.984984984978</v>
      </c>
      <c r="D262" s="8" t="s">
        <v>1021</v>
      </c>
      <c r="E262" s="8" t="s">
        <v>1279</v>
      </c>
      <c r="F262" s="8" t="s">
        <v>2074</v>
      </c>
      <c r="G262" s="8" t="s">
        <v>2407</v>
      </c>
      <c r="H262" s="8" t="s">
        <v>2409</v>
      </c>
      <c r="I262" s="8" t="s">
        <v>2411</v>
      </c>
      <c r="J262" s="16" t="s">
        <v>3891</v>
      </c>
      <c r="K262" s="16">
        <v>77139</v>
      </c>
      <c r="L262" s="8" t="s">
        <v>2420</v>
      </c>
      <c r="M262" s="8" t="s">
        <v>2680</v>
      </c>
      <c r="N262" s="8" t="s">
        <v>3372</v>
      </c>
      <c r="O262" s="8" t="s">
        <v>3376</v>
      </c>
      <c r="P262" s="8" t="s">
        <v>3599</v>
      </c>
      <c r="Q262" s="8">
        <v>1550.08</v>
      </c>
      <c r="R262" s="16">
        <v>3</v>
      </c>
      <c r="S262" s="21">
        <v>0.44</v>
      </c>
      <c r="T262" s="16">
        <v>-240.03</v>
      </c>
    </row>
    <row r="263" spans="1:20" x14ac:dyDescent="0.3">
      <c r="A263" s="5" t="s">
        <v>281</v>
      </c>
      <c r="B263" s="12">
        <v>43387.081076388888</v>
      </c>
      <c r="C263" s="12">
        <v>43393.08108108108</v>
      </c>
      <c r="D263" s="6" t="s">
        <v>1021</v>
      </c>
      <c r="E263" s="6" t="s">
        <v>1280</v>
      </c>
      <c r="F263" s="6" t="s">
        <v>2170</v>
      </c>
      <c r="G263" s="6" t="s">
        <v>2406</v>
      </c>
      <c r="H263" s="6" t="s">
        <v>2409</v>
      </c>
      <c r="I263" s="6" t="s">
        <v>2412</v>
      </c>
      <c r="J263" s="15" t="s">
        <v>3892</v>
      </c>
      <c r="K263" s="15">
        <v>22152</v>
      </c>
      <c r="L263" s="6" t="s">
        <v>2420</v>
      </c>
      <c r="M263" s="6" t="s">
        <v>2681</v>
      </c>
      <c r="N263" s="6" t="s">
        <v>3373</v>
      </c>
      <c r="O263" s="6" t="s">
        <v>3381</v>
      </c>
      <c r="P263" s="6" t="s">
        <v>3437</v>
      </c>
      <c r="Q263" s="6">
        <v>3665.99</v>
      </c>
      <c r="R263" s="15">
        <v>9</v>
      </c>
      <c r="S263" s="20">
        <v>0.62</v>
      </c>
      <c r="T263" s="15">
        <v>193.06</v>
      </c>
    </row>
    <row r="264" spans="1:20" x14ac:dyDescent="0.3">
      <c r="A264" s="7" t="s">
        <v>282</v>
      </c>
      <c r="B264" s="13">
        <v>43388.177175925928</v>
      </c>
      <c r="C264" s="13">
        <v>43391.177177177167</v>
      </c>
      <c r="D264" s="8" t="s">
        <v>1021</v>
      </c>
      <c r="E264" s="8" t="s">
        <v>1281</v>
      </c>
      <c r="F264" s="8" t="s">
        <v>2171</v>
      </c>
      <c r="G264" s="8" t="s">
        <v>2408</v>
      </c>
      <c r="H264" s="8" t="s">
        <v>2409</v>
      </c>
      <c r="I264" s="8" t="s">
        <v>2416</v>
      </c>
      <c r="J264" s="16" t="s">
        <v>2410</v>
      </c>
      <c r="K264" s="16">
        <v>16838</v>
      </c>
      <c r="L264" s="8" t="s">
        <v>2422</v>
      </c>
      <c r="M264" s="8" t="s">
        <v>2682</v>
      </c>
      <c r="N264" s="8" t="s">
        <v>3373</v>
      </c>
      <c r="O264" s="8" t="s">
        <v>3380</v>
      </c>
      <c r="P264" s="8" t="s">
        <v>3467</v>
      </c>
      <c r="Q264" s="8">
        <v>1433.11</v>
      </c>
      <c r="R264" s="16">
        <v>4</v>
      </c>
      <c r="S264" s="21">
        <v>0.1</v>
      </c>
      <c r="T264" s="16">
        <v>355.48</v>
      </c>
    </row>
    <row r="265" spans="1:20" x14ac:dyDescent="0.3">
      <c r="A265" s="5" t="s">
        <v>283</v>
      </c>
      <c r="B265" s="12">
        <v>43389.273275462961</v>
      </c>
      <c r="C265" s="12">
        <v>43394.273273273262</v>
      </c>
      <c r="D265" s="6" t="s">
        <v>1023</v>
      </c>
      <c r="E265" s="6" t="s">
        <v>1282</v>
      </c>
      <c r="F265" s="6" t="s">
        <v>2172</v>
      </c>
      <c r="G265" s="6" t="s">
        <v>2408</v>
      </c>
      <c r="H265" s="6" t="s">
        <v>2409</v>
      </c>
      <c r="I265" s="6" t="s">
        <v>2417</v>
      </c>
      <c r="J265" s="15" t="s">
        <v>2410</v>
      </c>
      <c r="K265" s="15">
        <v>91818</v>
      </c>
      <c r="L265" s="6" t="s">
        <v>2419</v>
      </c>
      <c r="M265" s="6" t="s">
        <v>2683</v>
      </c>
      <c r="N265" s="6" t="s">
        <v>3373</v>
      </c>
      <c r="O265" s="6" t="s">
        <v>3381</v>
      </c>
      <c r="P265" s="6" t="s">
        <v>3600</v>
      </c>
      <c r="Q265" s="6">
        <v>312.31</v>
      </c>
      <c r="R265" s="15">
        <v>1</v>
      </c>
      <c r="S265" s="20">
        <v>0.55000000000000004</v>
      </c>
      <c r="T265" s="15">
        <v>-52.52</v>
      </c>
    </row>
    <row r="266" spans="1:20" x14ac:dyDescent="0.3">
      <c r="A266" s="7" t="s">
        <v>284</v>
      </c>
      <c r="B266" s="13">
        <v>43390.369375000002</v>
      </c>
      <c r="C266" s="13">
        <v>43395.369369369357</v>
      </c>
      <c r="D266" s="8" t="s">
        <v>1021</v>
      </c>
      <c r="E266" s="8" t="s">
        <v>1283</v>
      </c>
      <c r="F266" s="8" t="s">
        <v>2173</v>
      </c>
      <c r="G266" s="8" t="s">
        <v>2406</v>
      </c>
      <c r="H266" s="8" t="s">
        <v>2409</v>
      </c>
      <c r="I266" s="8" t="s">
        <v>2415</v>
      </c>
      <c r="J266" s="16" t="s">
        <v>3896</v>
      </c>
      <c r="K266" s="16">
        <v>64722</v>
      </c>
      <c r="L266" s="8" t="s">
        <v>2419</v>
      </c>
      <c r="M266" s="8" t="s">
        <v>2684</v>
      </c>
      <c r="N266" s="8" t="s">
        <v>3373</v>
      </c>
      <c r="O266" s="8" t="s">
        <v>3381</v>
      </c>
      <c r="P266" s="8" t="s">
        <v>3601</v>
      </c>
      <c r="Q266" s="8">
        <v>22.83</v>
      </c>
      <c r="R266" s="16">
        <v>3</v>
      </c>
      <c r="S266" s="21">
        <v>0.66</v>
      </c>
      <c r="T266" s="16">
        <v>4.47</v>
      </c>
    </row>
    <row r="267" spans="1:20" x14ac:dyDescent="0.3">
      <c r="A267" s="5" t="s">
        <v>285</v>
      </c>
      <c r="B267" s="12">
        <v>43391.465462962966</v>
      </c>
      <c r="C267" s="12">
        <v>43396.465465465473</v>
      </c>
      <c r="D267" s="6" t="s">
        <v>1022</v>
      </c>
      <c r="E267" s="6" t="s">
        <v>1284</v>
      </c>
      <c r="F267" s="6" t="s">
        <v>2119</v>
      </c>
      <c r="G267" s="6" t="s">
        <v>2407</v>
      </c>
      <c r="H267" s="6" t="s">
        <v>2409</v>
      </c>
      <c r="I267" s="6" t="s">
        <v>2410</v>
      </c>
      <c r="J267" s="15" t="s">
        <v>3891</v>
      </c>
      <c r="K267" s="15">
        <v>76149</v>
      </c>
      <c r="L267" s="6" t="s">
        <v>2422</v>
      </c>
      <c r="M267" s="6" t="s">
        <v>2685</v>
      </c>
      <c r="N267" s="6" t="s">
        <v>3373</v>
      </c>
      <c r="O267" s="6" t="s">
        <v>3385</v>
      </c>
      <c r="P267" s="6" t="s">
        <v>3602</v>
      </c>
      <c r="Q267" s="6">
        <v>1333.82</v>
      </c>
      <c r="R267" s="15">
        <v>14</v>
      </c>
      <c r="S267" s="20">
        <v>0.2</v>
      </c>
      <c r="T267" s="15">
        <v>184.63</v>
      </c>
    </row>
    <row r="268" spans="1:20" x14ac:dyDescent="0.3">
      <c r="A268" s="7" t="s">
        <v>286</v>
      </c>
      <c r="B268" s="13">
        <v>43392.561562499999</v>
      </c>
      <c r="C268" s="13">
        <v>43395.561561561553</v>
      </c>
      <c r="D268" s="8" t="s">
        <v>1020</v>
      </c>
      <c r="E268" s="8" t="s">
        <v>1285</v>
      </c>
      <c r="F268" s="8" t="s">
        <v>2174</v>
      </c>
      <c r="G268" s="8" t="s">
        <v>2408</v>
      </c>
      <c r="H268" s="8" t="s">
        <v>2409</v>
      </c>
      <c r="I268" s="8" t="s">
        <v>2415</v>
      </c>
      <c r="J268" s="16" t="s">
        <v>3891</v>
      </c>
      <c r="K268" s="16">
        <v>60734</v>
      </c>
      <c r="L268" s="8" t="s">
        <v>2421</v>
      </c>
      <c r="M268" s="8" t="s">
        <v>2686</v>
      </c>
      <c r="N268" s="8" t="s">
        <v>3372</v>
      </c>
      <c r="O268" s="8" t="s">
        <v>3376</v>
      </c>
      <c r="P268" s="8" t="s">
        <v>3603</v>
      </c>
      <c r="Q268" s="8">
        <v>2314.31</v>
      </c>
      <c r="R268" s="16">
        <v>13</v>
      </c>
      <c r="S268" s="21">
        <v>0.86</v>
      </c>
      <c r="T268" s="16">
        <v>235.18</v>
      </c>
    </row>
    <row r="269" spans="1:20" x14ac:dyDescent="0.3">
      <c r="A269" s="5" t="s">
        <v>287</v>
      </c>
      <c r="B269" s="12">
        <v>43393.65766203704</v>
      </c>
      <c r="C269" s="12">
        <v>43395.657657657648</v>
      </c>
      <c r="D269" s="6" t="s">
        <v>1021</v>
      </c>
      <c r="E269" s="6" t="s">
        <v>1286</v>
      </c>
      <c r="F269" s="6" t="s">
        <v>2146</v>
      </c>
      <c r="G269" s="6" t="s">
        <v>2406</v>
      </c>
      <c r="H269" s="6" t="s">
        <v>2409</v>
      </c>
      <c r="I269" s="6" t="s">
        <v>2410</v>
      </c>
      <c r="J269" s="15" t="s">
        <v>3893</v>
      </c>
      <c r="K269" s="15">
        <v>43635</v>
      </c>
      <c r="L269" s="6" t="s">
        <v>2420</v>
      </c>
      <c r="M269" s="6" t="s">
        <v>2687</v>
      </c>
      <c r="N269" s="6" t="s">
        <v>3371</v>
      </c>
      <c r="O269" s="6" t="s">
        <v>3374</v>
      </c>
      <c r="P269" s="6" t="s">
        <v>3604</v>
      </c>
      <c r="Q269" s="6">
        <v>4273.43</v>
      </c>
      <c r="R269" s="15">
        <v>3</v>
      </c>
      <c r="S269" s="20">
        <v>0.61</v>
      </c>
      <c r="T269" s="15">
        <v>184.43</v>
      </c>
    </row>
    <row r="270" spans="1:20" x14ac:dyDescent="0.3">
      <c r="A270" s="7" t="s">
        <v>288</v>
      </c>
      <c r="B270" s="13">
        <v>43394.753750000003</v>
      </c>
      <c r="C270" s="13">
        <v>43395.75375375375</v>
      </c>
      <c r="D270" s="8" t="s">
        <v>1021</v>
      </c>
      <c r="E270" s="8" t="s">
        <v>1287</v>
      </c>
      <c r="F270" s="8" t="s">
        <v>2175</v>
      </c>
      <c r="G270" s="8" t="s">
        <v>2406</v>
      </c>
      <c r="H270" s="8" t="s">
        <v>2409</v>
      </c>
      <c r="I270" s="8" t="s">
        <v>2416</v>
      </c>
      <c r="J270" s="16" t="s">
        <v>3895</v>
      </c>
      <c r="K270" s="16">
        <v>50147</v>
      </c>
      <c r="L270" s="8" t="s">
        <v>2420</v>
      </c>
      <c r="M270" s="8" t="s">
        <v>2688</v>
      </c>
      <c r="N270" s="8" t="s">
        <v>3373</v>
      </c>
      <c r="O270" s="8" t="s">
        <v>3379</v>
      </c>
      <c r="P270" s="8" t="s">
        <v>3605</v>
      </c>
      <c r="Q270" s="8">
        <v>2431.23</v>
      </c>
      <c r="R270" s="16">
        <v>13</v>
      </c>
      <c r="S270" s="21">
        <v>0.84</v>
      </c>
      <c r="T270" s="16">
        <v>58.92</v>
      </c>
    </row>
    <row r="271" spans="1:20" x14ac:dyDescent="0.3">
      <c r="A271" s="5" t="s">
        <v>289</v>
      </c>
      <c r="B271" s="12">
        <v>43395.849849537037</v>
      </c>
      <c r="C271" s="12">
        <v>43397.849849849852</v>
      </c>
      <c r="D271" s="6" t="s">
        <v>1023</v>
      </c>
      <c r="E271" s="6" t="s">
        <v>1288</v>
      </c>
      <c r="F271" s="6" t="s">
        <v>2176</v>
      </c>
      <c r="G271" s="6" t="s">
        <v>2408</v>
      </c>
      <c r="H271" s="6" t="s">
        <v>2409</v>
      </c>
      <c r="I271" s="6" t="s">
        <v>2412</v>
      </c>
      <c r="J271" s="15" t="s">
        <v>3891</v>
      </c>
      <c r="K271" s="15">
        <v>52592</v>
      </c>
      <c r="L271" s="6" t="s">
        <v>2421</v>
      </c>
      <c r="M271" s="6" t="s">
        <v>2689</v>
      </c>
      <c r="N271" s="6" t="s">
        <v>3373</v>
      </c>
      <c r="O271" s="6" t="s">
        <v>3381</v>
      </c>
      <c r="P271" s="6" t="s">
        <v>3606</v>
      </c>
      <c r="Q271" s="6">
        <v>1486.82</v>
      </c>
      <c r="R271" s="15">
        <v>7</v>
      </c>
      <c r="S271" s="20">
        <v>0.44</v>
      </c>
      <c r="T271" s="15">
        <v>-44.93</v>
      </c>
    </row>
    <row r="272" spans="1:20" x14ac:dyDescent="0.3">
      <c r="A272" s="7" t="s">
        <v>290</v>
      </c>
      <c r="B272" s="13">
        <v>43396.945949074077</v>
      </c>
      <c r="C272" s="13">
        <v>43401.945945945939</v>
      </c>
      <c r="D272" s="8" t="s">
        <v>1023</v>
      </c>
      <c r="E272" s="8" t="s">
        <v>1289</v>
      </c>
      <c r="F272" s="8" t="s">
        <v>2177</v>
      </c>
      <c r="G272" s="8" t="s">
        <v>2406</v>
      </c>
      <c r="H272" s="8" t="s">
        <v>2409</v>
      </c>
      <c r="I272" s="8" t="s">
        <v>2413</v>
      </c>
      <c r="J272" s="16" t="s">
        <v>3891</v>
      </c>
      <c r="K272" s="16">
        <v>40958</v>
      </c>
      <c r="L272" s="8" t="s">
        <v>2422</v>
      </c>
      <c r="M272" s="8" t="s">
        <v>2690</v>
      </c>
      <c r="N272" s="8" t="s">
        <v>3372</v>
      </c>
      <c r="O272" s="8" t="s">
        <v>3376</v>
      </c>
      <c r="P272" s="8" t="s">
        <v>3419</v>
      </c>
      <c r="Q272" s="8">
        <v>2442.9299999999998</v>
      </c>
      <c r="R272" s="16">
        <v>4</v>
      </c>
      <c r="S272" s="21">
        <v>0.14000000000000001</v>
      </c>
      <c r="T272" s="16">
        <v>-156.77000000000001</v>
      </c>
    </row>
    <row r="273" spans="1:20" x14ac:dyDescent="0.3">
      <c r="A273" s="5" t="s">
        <v>291</v>
      </c>
      <c r="B273" s="12">
        <v>43398.042037037034</v>
      </c>
      <c r="C273" s="12">
        <v>43399.042042042027</v>
      </c>
      <c r="D273" s="6" t="s">
        <v>1020</v>
      </c>
      <c r="E273" s="6" t="s">
        <v>1290</v>
      </c>
      <c r="F273" s="6" t="s">
        <v>2178</v>
      </c>
      <c r="G273" s="6" t="s">
        <v>2406</v>
      </c>
      <c r="H273" s="6" t="s">
        <v>2409</v>
      </c>
      <c r="I273" s="6" t="s">
        <v>2414</v>
      </c>
      <c r="J273" s="15" t="s">
        <v>3896</v>
      </c>
      <c r="K273" s="15">
        <v>67379</v>
      </c>
      <c r="L273" s="6" t="s">
        <v>2420</v>
      </c>
      <c r="M273" s="6" t="s">
        <v>2691</v>
      </c>
      <c r="N273" s="6" t="s">
        <v>3373</v>
      </c>
      <c r="O273" s="6" t="s">
        <v>3380</v>
      </c>
      <c r="P273" s="6" t="s">
        <v>3607</v>
      </c>
      <c r="Q273" s="6">
        <v>1017.01</v>
      </c>
      <c r="R273" s="15">
        <v>8</v>
      </c>
      <c r="S273" s="20">
        <v>0.77</v>
      </c>
      <c r="T273" s="15">
        <v>42.33</v>
      </c>
    </row>
    <row r="274" spans="1:20" x14ac:dyDescent="0.3">
      <c r="A274" s="7" t="s">
        <v>292</v>
      </c>
      <c r="B274" s="13">
        <v>43399.138136574074</v>
      </c>
      <c r="C274" s="13">
        <v>43400.138138138143</v>
      </c>
      <c r="D274" s="8" t="s">
        <v>1023</v>
      </c>
      <c r="E274" s="8" t="s">
        <v>1291</v>
      </c>
      <c r="F274" s="8" t="s">
        <v>2052</v>
      </c>
      <c r="G274" s="8" t="s">
        <v>2408</v>
      </c>
      <c r="H274" s="8" t="s">
        <v>2409</v>
      </c>
      <c r="I274" s="8" t="s">
        <v>2412</v>
      </c>
      <c r="J274" s="16" t="s">
        <v>3895</v>
      </c>
      <c r="K274" s="16">
        <v>59812</v>
      </c>
      <c r="L274" s="8" t="s">
        <v>2421</v>
      </c>
      <c r="M274" s="8" t="s">
        <v>2692</v>
      </c>
      <c r="N274" s="8" t="s">
        <v>3372</v>
      </c>
      <c r="O274" s="8" t="s">
        <v>3376</v>
      </c>
      <c r="P274" s="8" t="s">
        <v>3538</v>
      </c>
      <c r="Q274" s="8">
        <v>2256.5700000000002</v>
      </c>
      <c r="R274" s="16">
        <v>7</v>
      </c>
      <c r="S274" s="21">
        <v>0.61</v>
      </c>
      <c r="T274" s="16">
        <v>-346.49</v>
      </c>
    </row>
    <row r="275" spans="1:20" x14ac:dyDescent="0.3">
      <c r="A275" s="5" t="s">
        <v>293</v>
      </c>
      <c r="B275" s="12">
        <v>43400.234236111108</v>
      </c>
      <c r="C275" s="12">
        <v>43402.234234234224</v>
      </c>
      <c r="D275" s="6" t="s">
        <v>1021</v>
      </c>
      <c r="E275" s="6" t="s">
        <v>1292</v>
      </c>
      <c r="F275" s="6" t="s">
        <v>2179</v>
      </c>
      <c r="G275" s="6" t="s">
        <v>2406</v>
      </c>
      <c r="H275" s="6" t="s">
        <v>2409</v>
      </c>
      <c r="I275" s="6" t="s">
        <v>2416</v>
      </c>
      <c r="J275" s="15" t="s">
        <v>3891</v>
      </c>
      <c r="K275" s="15">
        <v>80787</v>
      </c>
      <c r="L275" s="6" t="s">
        <v>2422</v>
      </c>
      <c r="M275" s="6" t="s">
        <v>2693</v>
      </c>
      <c r="N275" s="6" t="s">
        <v>3372</v>
      </c>
      <c r="O275" s="6" t="s">
        <v>3384</v>
      </c>
      <c r="P275" s="6" t="s">
        <v>3460</v>
      </c>
      <c r="Q275" s="6">
        <v>3557.59</v>
      </c>
      <c r="R275" s="15">
        <v>13</v>
      </c>
      <c r="S275" s="20">
        <v>0.53</v>
      </c>
      <c r="T275" s="15">
        <v>-457.7</v>
      </c>
    </row>
    <row r="276" spans="1:20" x14ac:dyDescent="0.3">
      <c r="A276" s="7" t="s">
        <v>294</v>
      </c>
      <c r="B276" s="13">
        <v>43401.330335648148</v>
      </c>
      <c r="C276" s="13">
        <v>43402.330330330333</v>
      </c>
      <c r="D276" s="8" t="s">
        <v>1020</v>
      </c>
      <c r="E276" s="8" t="s">
        <v>1293</v>
      </c>
      <c r="F276" s="8" t="s">
        <v>2180</v>
      </c>
      <c r="G276" s="8" t="s">
        <v>2408</v>
      </c>
      <c r="H276" s="8" t="s">
        <v>2409</v>
      </c>
      <c r="I276" s="8" t="s">
        <v>2412</v>
      </c>
      <c r="J276" s="16" t="s">
        <v>3893</v>
      </c>
      <c r="K276" s="16">
        <v>28579</v>
      </c>
      <c r="L276" s="8" t="s">
        <v>2419</v>
      </c>
      <c r="M276" s="8" t="s">
        <v>2694</v>
      </c>
      <c r="N276" s="8" t="s">
        <v>3371</v>
      </c>
      <c r="O276" s="8" t="s">
        <v>3382</v>
      </c>
      <c r="P276" s="8" t="s">
        <v>3608</v>
      </c>
      <c r="Q276" s="8">
        <v>4306.2700000000004</v>
      </c>
      <c r="R276" s="16">
        <v>14</v>
      </c>
      <c r="S276" s="21">
        <v>0.38</v>
      </c>
      <c r="T276" s="16">
        <v>1622.38</v>
      </c>
    </row>
    <row r="277" spans="1:20" x14ac:dyDescent="0.3">
      <c r="A277" s="5" t="s">
        <v>295</v>
      </c>
      <c r="B277" s="12">
        <v>43402.426423611112</v>
      </c>
      <c r="C277" s="12">
        <v>43405.42642642642</v>
      </c>
      <c r="D277" s="6" t="s">
        <v>1020</v>
      </c>
      <c r="E277" s="6" t="s">
        <v>1294</v>
      </c>
      <c r="F277" s="6" t="s">
        <v>2181</v>
      </c>
      <c r="G277" s="6" t="s">
        <v>2406</v>
      </c>
      <c r="H277" s="6" t="s">
        <v>2409</v>
      </c>
      <c r="I277" s="6" t="s">
        <v>2413</v>
      </c>
      <c r="J277" s="15" t="s">
        <v>3893</v>
      </c>
      <c r="K277" s="15">
        <v>78452</v>
      </c>
      <c r="L277" s="6" t="s">
        <v>2421</v>
      </c>
      <c r="M277" s="6" t="s">
        <v>2695</v>
      </c>
      <c r="N277" s="6" t="s">
        <v>3372</v>
      </c>
      <c r="O277" s="6" t="s">
        <v>3378</v>
      </c>
      <c r="P277" s="6" t="s">
        <v>3609</v>
      </c>
      <c r="Q277" s="6">
        <v>3000.17</v>
      </c>
      <c r="R277" s="15">
        <v>11</v>
      </c>
      <c r="S277" s="20">
        <v>0.15</v>
      </c>
      <c r="T277" s="15">
        <v>369.33</v>
      </c>
    </row>
    <row r="278" spans="1:20" x14ac:dyDescent="0.3">
      <c r="A278" s="7" t="s">
        <v>296</v>
      </c>
      <c r="B278" s="13">
        <v>43403.522523148145</v>
      </c>
      <c r="C278" s="13">
        <v>43408.522522522508</v>
      </c>
      <c r="D278" s="8" t="s">
        <v>1022</v>
      </c>
      <c r="E278" s="8" t="s">
        <v>1295</v>
      </c>
      <c r="F278" s="8" t="s">
        <v>2182</v>
      </c>
      <c r="G278" s="8" t="s">
        <v>2408</v>
      </c>
      <c r="H278" s="8" t="s">
        <v>2409</v>
      </c>
      <c r="I278" s="8" t="s">
        <v>2416</v>
      </c>
      <c r="J278" s="16" t="s">
        <v>3893</v>
      </c>
      <c r="K278" s="16">
        <v>87144</v>
      </c>
      <c r="L278" s="8" t="s">
        <v>2421</v>
      </c>
      <c r="M278" s="8" t="s">
        <v>2696</v>
      </c>
      <c r="N278" s="8" t="s">
        <v>3371</v>
      </c>
      <c r="O278" s="8" t="s">
        <v>3382</v>
      </c>
      <c r="P278" s="8" t="s">
        <v>3610</v>
      </c>
      <c r="Q278" s="8">
        <v>3224.03</v>
      </c>
      <c r="R278" s="16">
        <v>10</v>
      </c>
      <c r="S278" s="21">
        <v>0.38</v>
      </c>
      <c r="T278" s="16">
        <v>1586.65</v>
      </c>
    </row>
    <row r="279" spans="1:20" x14ac:dyDescent="0.3">
      <c r="A279" s="5" t="s">
        <v>297</v>
      </c>
      <c r="B279" s="12">
        <v>43404.618622685186</v>
      </c>
      <c r="C279" s="12">
        <v>43407.61861861861</v>
      </c>
      <c r="D279" s="6" t="s">
        <v>1021</v>
      </c>
      <c r="E279" s="6" t="s">
        <v>1296</v>
      </c>
      <c r="F279" s="6" t="s">
        <v>2065</v>
      </c>
      <c r="G279" s="6" t="s">
        <v>2406</v>
      </c>
      <c r="H279" s="6" t="s">
        <v>2409</v>
      </c>
      <c r="I279" s="6" t="s">
        <v>2410</v>
      </c>
      <c r="J279" s="15" t="s">
        <v>3892</v>
      </c>
      <c r="K279" s="15">
        <v>23719</v>
      </c>
      <c r="L279" s="6" t="s">
        <v>2421</v>
      </c>
      <c r="M279" s="6" t="s">
        <v>2697</v>
      </c>
      <c r="N279" s="6" t="s">
        <v>3373</v>
      </c>
      <c r="O279" s="6" t="s">
        <v>3380</v>
      </c>
      <c r="P279" s="6" t="s">
        <v>3611</v>
      </c>
      <c r="Q279" s="6">
        <v>4075.57</v>
      </c>
      <c r="R279" s="15">
        <v>2</v>
      </c>
      <c r="S279" s="20">
        <v>0.22</v>
      </c>
      <c r="T279" s="15">
        <v>-385.73</v>
      </c>
    </row>
    <row r="280" spans="1:20" x14ac:dyDescent="0.3">
      <c r="A280" s="7" t="s">
        <v>298</v>
      </c>
      <c r="B280" s="13">
        <v>43405.71471064815</v>
      </c>
      <c r="C280" s="13">
        <v>43409.714714714712</v>
      </c>
      <c r="D280" s="8" t="s">
        <v>1022</v>
      </c>
      <c r="E280" s="8" t="s">
        <v>1297</v>
      </c>
      <c r="F280" s="8" t="s">
        <v>2183</v>
      </c>
      <c r="G280" s="8" t="s">
        <v>2407</v>
      </c>
      <c r="H280" s="8" t="s">
        <v>2409</v>
      </c>
      <c r="I280" s="8" t="s">
        <v>2417</v>
      </c>
      <c r="J280" s="16" t="s">
        <v>3891</v>
      </c>
      <c r="K280" s="16">
        <v>90694</v>
      </c>
      <c r="L280" s="8" t="s">
        <v>2422</v>
      </c>
      <c r="M280" s="8" t="s">
        <v>2698</v>
      </c>
      <c r="N280" s="8" t="s">
        <v>3373</v>
      </c>
      <c r="O280" s="8" t="s">
        <v>3380</v>
      </c>
      <c r="P280" s="8" t="s">
        <v>3488</v>
      </c>
      <c r="Q280" s="8">
        <v>3212.9</v>
      </c>
      <c r="R280" s="16">
        <v>8</v>
      </c>
      <c r="S280" s="21">
        <v>0.75</v>
      </c>
      <c r="T280" s="16">
        <v>1150.7</v>
      </c>
    </row>
    <row r="281" spans="1:20" x14ac:dyDescent="0.3">
      <c r="A281" s="5" t="s">
        <v>299</v>
      </c>
      <c r="B281" s="12">
        <v>43406.810810185183</v>
      </c>
      <c r="C281" s="12">
        <v>43408.810810810814</v>
      </c>
      <c r="D281" s="6" t="s">
        <v>1021</v>
      </c>
      <c r="E281" s="6" t="s">
        <v>1298</v>
      </c>
      <c r="F281" s="6" t="s">
        <v>1997</v>
      </c>
      <c r="G281" s="6" t="s">
        <v>2407</v>
      </c>
      <c r="H281" s="6" t="s">
        <v>2409</v>
      </c>
      <c r="I281" s="6" t="s">
        <v>2411</v>
      </c>
      <c r="J281" s="15" t="s">
        <v>3896</v>
      </c>
      <c r="K281" s="15">
        <v>41177</v>
      </c>
      <c r="L281" s="6" t="s">
        <v>2422</v>
      </c>
      <c r="M281" s="6" t="s">
        <v>2699</v>
      </c>
      <c r="N281" s="6" t="s">
        <v>3372</v>
      </c>
      <c r="O281" s="6" t="s">
        <v>3376</v>
      </c>
      <c r="P281" s="6" t="s">
        <v>3612</v>
      </c>
      <c r="Q281" s="6">
        <v>2390.1</v>
      </c>
      <c r="R281" s="15">
        <v>1</v>
      </c>
      <c r="S281" s="20">
        <v>0.41</v>
      </c>
      <c r="T281" s="15">
        <v>322</v>
      </c>
    </row>
    <row r="282" spans="1:20" x14ac:dyDescent="0.3">
      <c r="A282" s="7" t="s">
        <v>300</v>
      </c>
      <c r="B282" s="13">
        <v>43407.906909722224</v>
      </c>
      <c r="C282" s="13">
        <v>43408.906906906901</v>
      </c>
      <c r="D282" s="8" t="s">
        <v>1020</v>
      </c>
      <c r="E282" s="8" t="s">
        <v>1299</v>
      </c>
      <c r="F282" s="8" t="s">
        <v>2184</v>
      </c>
      <c r="G282" s="8" t="s">
        <v>2407</v>
      </c>
      <c r="H282" s="8" t="s">
        <v>2409</v>
      </c>
      <c r="I282" s="8" t="s">
        <v>2412</v>
      </c>
      <c r="J282" s="16" t="s">
        <v>3891</v>
      </c>
      <c r="K282" s="16">
        <v>33928</v>
      </c>
      <c r="L282" s="8" t="s">
        <v>2422</v>
      </c>
      <c r="M282" s="8" t="s">
        <v>2700</v>
      </c>
      <c r="N282" s="8" t="s">
        <v>3372</v>
      </c>
      <c r="O282" s="8" t="s">
        <v>3378</v>
      </c>
      <c r="P282" s="8" t="s">
        <v>3613</v>
      </c>
      <c r="Q282" s="8">
        <v>990.15</v>
      </c>
      <c r="R282" s="16">
        <v>1</v>
      </c>
      <c r="S282" s="21">
        <v>0.67</v>
      </c>
      <c r="T282" s="16">
        <v>131.77000000000001</v>
      </c>
    </row>
    <row r="283" spans="1:20" x14ac:dyDescent="0.3">
      <c r="A283" s="5" t="s">
        <v>301</v>
      </c>
      <c r="B283" s="12">
        <v>43409.002997685187</v>
      </c>
      <c r="C283" s="12">
        <v>43411.003003003003</v>
      </c>
      <c r="D283" s="6" t="s">
        <v>1022</v>
      </c>
      <c r="E283" s="6" t="s">
        <v>1300</v>
      </c>
      <c r="F283" s="6" t="s">
        <v>2185</v>
      </c>
      <c r="G283" s="6" t="s">
        <v>2408</v>
      </c>
      <c r="H283" s="6" t="s">
        <v>2409</v>
      </c>
      <c r="I283" s="6" t="s">
        <v>2412</v>
      </c>
      <c r="J283" s="15" t="s">
        <v>3891</v>
      </c>
      <c r="K283" s="15">
        <v>10667</v>
      </c>
      <c r="L283" s="6" t="s">
        <v>2419</v>
      </c>
      <c r="M283" s="6" t="s">
        <v>2701</v>
      </c>
      <c r="N283" s="6" t="s">
        <v>3373</v>
      </c>
      <c r="O283" s="6" t="s">
        <v>3381</v>
      </c>
      <c r="P283" s="6" t="s">
        <v>3561</v>
      </c>
      <c r="Q283" s="6">
        <v>1219.6400000000001</v>
      </c>
      <c r="R283" s="15">
        <v>2</v>
      </c>
      <c r="S283" s="20">
        <v>0.87</v>
      </c>
      <c r="T283" s="15">
        <v>364.21</v>
      </c>
    </row>
    <row r="284" spans="1:20" x14ac:dyDescent="0.3">
      <c r="A284" s="7" t="s">
        <v>302</v>
      </c>
      <c r="B284" s="13">
        <v>43410.099097222221</v>
      </c>
      <c r="C284" s="13">
        <v>43411.099099099098</v>
      </c>
      <c r="D284" s="8" t="s">
        <v>1023</v>
      </c>
      <c r="E284" s="8" t="s">
        <v>1301</v>
      </c>
      <c r="F284" s="8" t="s">
        <v>2044</v>
      </c>
      <c r="G284" s="8" t="s">
        <v>2406</v>
      </c>
      <c r="H284" s="8" t="s">
        <v>2409</v>
      </c>
      <c r="I284" s="8" t="s">
        <v>2412</v>
      </c>
      <c r="J284" s="16" t="s">
        <v>2410</v>
      </c>
      <c r="K284" s="16">
        <v>73981</v>
      </c>
      <c r="L284" s="8" t="s">
        <v>2421</v>
      </c>
      <c r="M284" s="8" t="s">
        <v>2702</v>
      </c>
      <c r="N284" s="8" t="s">
        <v>3371</v>
      </c>
      <c r="O284" s="8" t="s">
        <v>3383</v>
      </c>
      <c r="P284" s="8" t="s">
        <v>3614</v>
      </c>
      <c r="Q284" s="8">
        <v>3318.8</v>
      </c>
      <c r="R284" s="16">
        <v>11</v>
      </c>
      <c r="S284" s="21">
        <v>0.79</v>
      </c>
      <c r="T284" s="16">
        <v>64.61</v>
      </c>
    </row>
    <row r="285" spans="1:20" x14ac:dyDescent="0.3">
      <c r="A285" s="5" t="s">
        <v>303</v>
      </c>
      <c r="B285" s="12">
        <v>43411.195196759261</v>
      </c>
      <c r="C285" s="12">
        <v>43414.195195195192</v>
      </c>
      <c r="D285" s="6" t="s">
        <v>1022</v>
      </c>
      <c r="E285" s="6" t="s">
        <v>1302</v>
      </c>
      <c r="F285" s="6" t="s">
        <v>2186</v>
      </c>
      <c r="G285" s="6" t="s">
        <v>2407</v>
      </c>
      <c r="H285" s="6" t="s">
        <v>2409</v>
      </c>
      <c r="I285" s="6" t="s">
        <v>2413</v>
      </c>
      <c r="J285" s="15" t="s">
        <v>3895</v>
      </c>
      <c r="K285" s="15">
        <v>81342</v>
      </c>
      <c r="L285" s="6" t="s">
        <v>2419</v>
      </c>
      <c r="M285" s="6" t="s">
        <v>2703</v>
      </c>
      <c r="N285" s="6" t="s">
        <v>3373</v>
      </c>
      <c r="O285" s="6" t="s">
        <v>3381</v>
      </c>
      <c r="P285" s="6" t="s">
        <v>3492</v>
      </c>
      <c r="Q285" s="6">
        <v>629.32000000000005</v>
      </c>
      <c r="R285" s="15">
        <v>12</v>
      </c>
      <c r="S285" s="20">
        <v>0.55000000000000004</v>
      </c>
      <c r="T285" s="15">
        <v>-69.489999999999995</v>
      </c>
    </row>
    <row r="286" spans="1:20" x14ac:dyDescent="0.3">
      <c r="A286" s="7" t="s">
        <v>304</v>
      </c>
      <c r="B286" s="13">
        <v>43412.291296296295</v>
      </c>
      <c r="C286" s="13">
        <v>43413.291291291287</v>
      </c>
      <c r="D286" s="8" t="s">
        <v>1023</v>
      </c>
      <c r="E286" s="8" t="s">
        <v>1303</v>
      </c>
      <c r="F286" s="8" t="s">
        <v>2187</v>
      </c>
      <c r="G286" s="8" t="s">
        <v>2408</v>
      </c>
      <c r="H286" s="8" t="s">
        <v>2409</v>
      </c>
      <c r="I286" s="8" t="s">
        <v>2413</v>
      </c>
      <c r="J286" s="16" t="s">
        <v>3895</v>
      </c>
      <c r="K286" s="16">
        <v>85396</v>
      </c>
      <c r="L286" s="8" t="s">
        <v>2422</v>
      </c>
      <c r="M286" s="8" t="s">
        <v>2704</v>
      </c>
      <c r="N286" s="8" t="s">
        <v>3372</v>
      </c>
      <c r="O286" s="8" t="s">
        <v>3378</v>
      </c>
      <c r="P286" s="8" t="s">
        <v>3615</v>
      </c>
      <c r="Q286" s="8">
        <v>2374.66</v>
      </c>
      <c r="R286" s="16">
        <v>5</v>
      </c>
      <c r="S286" s="21">
        <v>0.66</v>
      </c>
      <c r="T286" s="16">
        <v>936.14</v>
      </c>
    </row>
    <row r="287" spans="1:20" x14ac:dyDescent="0.3">
      <c r="A287" s="5" t="s">
        <v>305</v>
      </c>
      <c r="B287" s="12">
        <v>43413.387384259258</v>
      </c>
      <c r="C287" s="12">
        <v>43416.387387387382</v>
      </c>
      <c r="D287" s="6" t="s">
        <v>1022</v>
      </c>
      <c r="E287" s="6" t="s">
        <v>1304</v>
      </c>
      <c r="F287" s="6" t="s">
        <v>2024</v>
      </c>
      <c r="G287" s="6" t="s">
        <v>2407</v>
      </c>
      <c r="H287" s="6" t="s">
        <v>2409</v>
      </c>
      <c r="I287" s="6" t="s">
        <v>2417</v>
      </c>
      <c r="J287" s="15" t="s">
        <v>3891</v>
      </c>
      <c r="K287" s="15">
        <v>51335</v>
      </c>
      <c r="L287" s="6" t="s">
        <v>2419</v>
      </c>
      <c r="M287" s="6" t="s">
        <v>2705</v>
      </c>
      <c r="N287" s="6" t="s">
        <v>3371</v>
      </c>
      <c r="O287" s="6" t="s">
        <v>3374</v>
      </c>
      <c r="P287" s="6" t="s">
        <v>3616</v>
      </c>
      <c r="Q287" s="6">
        <v>659.22</v>
      </c>
      <c r="R287" s="15">
        <v>9</v>
      </c>
      <c r="S287" s="20">
        <v>0.05</v>
      </c>
      <c r="T287" s="15">
        <v>259.48</v>
      </c>
    </row>
    <row r="288" spans="1:20" x14ac:dyDescent="0.3">
      <c r="A288" s="7" t="s">
        <v>306</v>
      </c>
      <c r="B288" s="13">
        <v>43414.483483796299</v>
      </c>
      <c r="C288" s="13">
        <v>43419.483483483469</v>
      </c>
      <c r="D288" s="8" t="s">
        <v>1021</v>
      </c>
      <c r="E288" s="8" t="s">
        <v>1305</v>
      </c>
      <c r="F288" s="8" t="s">
        <v>2043</v>
      </c>
      <c r="G288" s="8" t="s">
        <v>2408</v>
      </c>
      <c r="H288" s="8" t="s">
        <v>2409</v>
      </c>
      <c r="I288" s="8" t="s">
        <v>2414</v>
      </c>
      <c r="J288" s="16" t="s">
        <v>3893</v>
      </c>
      <c r="K288" s="16">
        <v>29706</v>
      </c>
      <c r="L288" s="8" t="s">
        <v>2420</v>
      </c>
      <c r="M288" s="8" t="s">
        <v>2706</v>
      </c>
      <c r="N288" s="8" t="s">
        <v>3372</v>
      </c>
      <c r="O288" s="8" t="s">
        <v>3384</v>
      </c>
      <c r="P288" s="8" t="s">
        <v>3617</v>
      </c>
      <c r="Q288" s="8">
        <v>4846.92</v>
      </c>
      <c r="R288" s="16">
        <v>10</v>
      </c>
      <c r="S288" s="21">
        <v>0.82</v>
      </c>
      <c r="T288" s="16">
        <v>-24.69</v>
      </c>
    </row>
    <row r="289" spans="1:20" x14ac:dyDescent="0.3">
      <c r="A289" s="5" t="s">
        <v>307</v>
      </c>
      <c r="B289" s="12">
        <v>43415.579583333332</v>
      </c>
      <c r="C289" s="12">
        <v>43416.579579579571</v>
      </c>
      <c r="D289" s="6" t="s">
        <v>1021</v>
      </c>
      <c r="E289" s="6" t="s">
        <v>1306</v>
      </c>
      <c r="F289" s="6" t="s">
        <v>2084</v>
      </c>
      <c r="G289" s="6" t="s">
        <v>2407</v>
      </c>
      <c r="H289" s="6" t="s">
        <v>2409</v>
      </c>
      <c r="I289" s="6" t="s">
        <v>2413</v>
      </c>
      <c r="J289" s="15" t="s">
        <v>3898</v>
      </c>
      <c r="K289" s="15">
        <v>71396</v>
      </c>
      <c r="L289" s="6" t="s">
        <v>2422</v>
      </c>
      <c r="M289" s="6" t="s">
        <v>2707</v>
      </c>
      <c r="N289" s="6" t="s">
        <v>3372</v>
      </c>
      <c r="O289" s="6" t="s">
        <v>3384</v>
      </c>
      <c r="P289" s="6" t="s">
        <v>3618</v>
      </c>
      <c r="Q289" s="6">
        <v>160.16</v>
      </c>
      <c r="R289" s="15">
        <v>6</v>
      </c>
      <c r="S289" s="20">
        <v>0.66</v>
      </c>
      <c r="T289" s="15">
        <v>10.24</v>
      </c>
    </row>
    <row r="290" spans="1:20" x14ac:dyDescent="0.3">
      <c r="A290" s="7" t="s">
        <v>308</v>
      </c>
      <c r="B290" s="13">
        <v>43416.675671296296</v>
      </c>
      <c r="C290" s="13">
        <v>43417.675675675673</v>
      </c>
      <c r="D290" s="8" t="s">
        <v>1020</v>
      </c>
      <c r="E290" s="8" t="s">
        <v>1307</v>
      </c>
      <c r="F290" s="8" t="s">
        <v>2188</v>
      </c>
      <c r="G290" s="8" t="s">
        <v>2406</v>
      </c>
      <c r="H290" s="8" t="s">
        <v>2409</v>
      </c>
      <c r="I290" s="8" t="s">
        <v>2413</v>
      </c>
      <c r="J290" s="16" t="s">
        <v>2410</v>
      </c>
      <c r="K290" s="16">
        <v>84481</v>
      </c>
      <c r="L290" s="8" t="s">
        <v>2420</v>
      </c>
      <c r="M290" s="8" t="s">
        <v>2708</v>
      </c>
      <c r="N290" s="8" t="s">
        <v>3371</v>
      </c>
      <c r="O290" s="8" t="s">
        <v>3375</v>
      </c>
      <c r="P290" s="8" t="s">
        <v>3619</v>
      </c>
      <c r="Q290" s="8">
        <v>4813.0600000000004</v>
      </c>
      <c r="R290" s="16">
        <v>3</v>
      </c>
      <c r="S290" s="21">
        <v>0.48</v>
      </c>
      <c r="T290" s="16">
        <v>129.02000000000001</v>
      </c>
    </row>
    <row r="291" spans="1:20" x14ac:dyDescent="0.3">
      <c r="A291" s="5" t="s">
        <v>309</v>
      </c>
      <c r="B291" s="12">
        <v>43417.771770833337</v>
      </c>
      <c r="C291" s="12">
        <v>43422.771771771768</v>
      </c>
      <c r="D291" s="6" t="s">
        <v>1022</v>
      </c>
      <c r="E291" s="6" t="s">
        <v>1308</v>
      </c>
      <c r="F291" s="6" t="s">
        <v>2189</v>
      </c>
      <c r="G291" s="6" t="s">
        <v>2407</v>
      </c>
      <c r="H291" s="6" t="s">
        <v>2409</v>
      </c>
      <c r="I291" s="6" t="s">
        <v>2410</v>
      </c>
      <c r="J291" s="15" t="s">
        <v>3898</v>
      </c>
      <c r="K291" s="15">
        <v>18396</v>
      </c>
      <c r="L291" s="6" t="s">
        <v>2419</v>
      </c>
      <c r="M291" s="6" t="s">
        <v>2709</v>
      </c>
      <c r="N291" s="6" t="s">
        <v>3372</v>
      </c>
      <c r="O291" s="6" t="s">
        <v>3384</v>
      </c>
      <c r="P291" s="6" t="s">
        <v>3620</v>
      </c>
      <c r="Q291" s="6">
        <v>4795.3999999999996</v>
      </c>
      <c r="R291" s="15">
        <v>5</v>
      </c>
      <c r="S291" s="20">
        <v>0.76</v>
      </c>
      <c r="T291" s="15">
        <v>-185.31</v>
      </c>
    </row>
    <row r="292" spans="1:20" x14ac:dyDescent="0.3">
      <c r="A292" s="7" t="s">
        <v>310</v>
      </c>
      <c r="B292" s="13">
        <v>43418.86787037037</v>
      </c>
      <c r="C292" s="13">
        <v>43421.867867867863</v>
      </c>
      <c r="D292" s="8" t="s">
        <v>1023</v>
      </c>
      <c r="E292" s="8" t="s">
        <v>1309</v>
      </c>
      <c r="F292" s="8" t="s">
        <v>2007</v>
      </c>
      <c r="G292" s="8" t="s">
        <v>2408</v>
      </c>
      <c r="H292" s="8" t="s">
        <v>2409</v>
      </c>
      <c r="I292" s="8" t="s">
        <v>2414</v>
      </c>
      <c r="J292" s="16" t="s">
        <v>3895</v>
      </c>
      <c r="K292" s="16">
        <v>45170</v>
      </c>
      <c r="L292" s="8" t="s">
        <v>2420</v>
      </c>
      <c r="M292" s="8" t="s">
        <v>2710</v>
      </c>
      <c r="N292" s="8" t="s">
        <v>3373</v>
      </c>
      <c r="O292" s="8" t="s">
        <v>3379</v>
      </c>
      <c r="P292" s="8" t="s">
        <v>3621</v>
      </c>
      <c r="Q292" s="8">
        <v>3765.22</v>
      </c>
      <c r="R292" s="16">
        <v>11</v>
      </c>
      <c r="S292" s="21">
        <v>0.6</v>
      </c>
      <c r="T292" s="16">
        <v>1721.38</v>
      </c>
    </row>
    <row r="293" spans="1:20" x14ac:dyDescent="0.3">
      <c r="A293" s="5" t="s">
        <v>311</v>
      </c>
      <c r="B293" s="12">
        <v>43419.963958333334</v>
      </c>
      <c r="C293" s="12">
        <v>43421.963963963957</v>
      </c>
      <c r="D293" s="6" t="s">
        <v>1020</v>
      </c>
      <c r="E293" s="6" t="s">
        <v>1310</v>
      </c>
      <c r="F293" s="6" t="s">
        <v>2190</v>
      </c>
      <c r="G293" s="6" t="s">
        <v>2408</v>
      </c>
      <c r="H293" s="6" t="s">
        <v>2409</v>
      </c>
      <c r="I293" s="6" t="s">
        <v>2413</v>
      </c>
      <c r="J293" s="15" t="s">
        <v>3894</v>
      </c>
      <c r="K293" s="15">
        <v>87527</v>
      </c>
      <c r="L293" s="6" t="s">
        <v>2421</v>
      </c>
      <c r="M293" s="6" t="s">
        <v>2711</v>
      </c>
      <c r="N293" s="6" t="s">
        <v>3372</v>
      </c>
      <c r="O293" s="6" t="s">
        <v>3376</v>
      </c>
      <c r="P293" s="6" t="s">
        <v>3446</v>
      </c>
      <c r="Q293" s="6">
        <v>3375.84</v>
      </c>
      <c r="R293" s="15">
        <v>11</v>
      </c>
      <c r="S293" s="20">
        <v>0.08</v>
      </c>
      <c r="T293" s="15">
        <v>1270.69</v>
      </c>
    </row>
    <row r="294" spans="1:20" x14ac:dyDescent="0.3">
      <c r="A294" s="7" t="s">
        <v>312</v>
      </c>
      <c r="B294" s="13">
        <v>43421.060057870367</v>
      </c>
      <c r="C294" s="13">
        <v>43426.060060060059</v>
      </c>
      <c r="D294" s="8" t="s">
        <v>1020</v>
      </c>
      <c r="E294" s="8" t="s">
        <v>1311</v>
      </c>
      <c r="F294" s="8" t="s">
        <v>2191</v>
      </c>
      <c r="G294" s="8" t="s">
        <v>2407</v>
      </c>
      <c r="H294" s="8" t="s">
        <v>2409</v>
      </c>
      <c r="I294" s="8" t="s">
        <v>2415</v>
      </c>
      <c r="J294" s="16" t="s">
        <v>3892</v>
      </c>
      <c r="K294" s="16">
        <v>48553</v>
      </c>
      <c r="L294" s="8" t="s">
        <v>2420</v>
      </c>
      <c r="M294" s="8" t="s">
        <v>2712</v>
      </c>
      <c r="N294" s="8" t="s">
        <v>3373</v>
      </c>
      <c r="O294" s="8" t="s">
        <v>3379</v>
      </c>
      <c r="P294" s="8" t="s">
        <v>3622</v>
      </c>
      <c r="Q294" s="8">
        <v>525.92999999999995</v>
      </c>
      <c r="R294" s="16">
        <v>6</v>
      </c>
      <c r="S294" s="21">
        <v>0.22</v>
      </c>
      <c r="T294" s="16">
        <v>263.14999999999998</v>
      </c>
    </row>
    <row r="295" spans="1:20" x14ac:dyDescent="0.3">
      <c r="A295" s="5" t="s">
        <v>313</v>
      </c>
      <c r="B295" s="12">
        <v>43422.156157407408</v>
      </c>
      <c r="C295" s="12">
        <v>43426.156156156147</v>
      </c>
      <c r="D295" s="6" t="s">
        <v>1020</v>
      </c>
      <c r="E295" s="6" t="s">
        <v>1312</v>
      </c>
      <c r="F295" s="6" t="s">
        <v>2184</v>
      </c>
      <c r="G295" s="6" t="s">
        <v>2407</v>
      </c>
      <c r="H295" s="6" t="s">
        <v>2409</v>
      </c>
      <c r="I295" s="6" t="s">
        <v>2413</v>
      </c>
      <c r="J295" s="15" t="s">
        <v>3892</v>
      </c>
      <c r="K295" s="15">
        <v>14279</v>
      </c>
      <c r="L295" s="6" t="s">
        <v>2422</v>
      </c>
      <c r="M295" s="6" t="s">
        <v>2713</v>
      </c>
      <c r="N295" s="6" t="s">
        <v>3373</v>
      </c>
      <c r="O295" s="6" t="s">
        <v>3381</v>
      </c>
      <c r="P295" s="6" t="s">
        <v>3623</v>
      </c>
      <c r="Q295" s="6">
        <v>179.53</v>
      </c>
      <c r="R295" s="15">
        <v>8</v>
      </c>
      <c r="S295" s="20">
        <v>0.62</v>
      </c>
      <c r="T295" s="15">
        <v>-31.03</v>
      </c>
    </row>
    <row r="296" spans="1:20" x14ac:dyDescent="0.3">
      <c r="A296" s="7" t="s">
        <v>314</v>
      </c>
      <c r="B296" s="13">
        <v>43423.252256944441</v>
      </c>
      <c r="C296" s="13">
        <v>43427.252252252249</v>
      </c>
      <c r="D296" s="8" t="s">
        <v>1020</v>
      </c>
      <c r="E296" s="8" t="s">
        <v>1313</v>
      </c>
      <c r="F296" s="8" t="s">
        <v>2056</v>
      </c>
      <c r="G296" s="8" t="s">
        <v>2407</v>
      </c>
      <c r="H296" s="8" t="s">
        <v>2409</v>
      </c>
      <c r="I296" s="8" t="s">
        <v>2412</v>
      </c>
      <c r="J296" s="16" t="s">
        <v>3893</v>
      </c>
      <c r="K296" s="16">
        <v>74603</v>
      </c>
      <c r="L296" s="8" t="s">
        <v>2421</v>
      </c>
      <c r="M296" s="8" t="s">
        <v>2714</v>
      </c>
      <c r="N296" s="8" t="s">
        <v>3372</v>
      </c>
      <c r="O296" s="8" t="s">
        <v>3378</v>
      </c>
      <c r="P296" s="8" t="s">
        <v>3504</v>
      </c>
      <c r="Q296" s="8">
        <v>2283.5700000000002</v>
      </c>
      <c r="R296" s="16">
        <v>4</v>
      </c>
      <c r="S296" s="21">
        <v>0.37</v>
      </c>
      <c r="T296" s="16">
        <v>806.16</v>
      </c>
    </row>
    <row r="297" spans="1:20" x14ac:dyDescent="0.3">
      <c r="A297" s="5" t="s">
        <v>315</v>
      </c>
      <c r="B297" s="12">
        <v>43424.348344907405</v>
      </c>
      <c r="C297" s="12">
        <v>43427.348348348343</v>
      </c>
      <c r="D297" s="6" t="s">
        <v>1022</v>
      </c>
      <c r="E297" s="6" t="s">
        <v>1314</v>
      </c>
      <c r="F297" s="6" t="s">
        <v>2103</v>
      </c>
      <c r="G297" s="6" t="s">
        <v>2408</v>
      </c>
      <c r="H297" s="6" t="s">
        <v>2409</v>
      </c>
      <c r="I297" s="6" t="s">
        <v>2416</v>
      </c>
      <c r="J297" s="15" t="s">
        <v>3896</v>
      </c>
      <c r="K297" s="15">
        <v>45283</v>
      </c>
      <c r="L297" s="6" t="s">
        <v>2422</v>
      </c>
      <c r="M297" s="6" t="s">
        <v>2715</v>
      </c>
      <c r="N297" s="6" t="s">
        <v>3373</v>
      </c>
      <c r="O297" s="6" t="s">
        <v>3380</v>
      </c>
      <c r="P297" s="6" t="s">
        <v>3624</v>
      </c>
      <c r="Q297" s="6">
        <v>911.13</v>
      </c>
      <c r="R297" s="15">
        <v>7</v>
      </c>
      <c r="S297" s="20">
        <v>0.86</v>
      </c>
      <c r="T297" s="15">
        <v>-134.16</v>
      </c>
    </row>
    <row r="298" spans="1:20" x14ac:dyDescent="0.3">
      <c r="A298" s="7" t="s">
        <v>316</v>
      </c>
      <c r="B298" s="13">
        <v>43425.444444444445</v>
      </c>
      <c r="C298" s="13">
        <v>43426.444444444453</v>
      </c>
      <c r="D298" s="8" t="s">
        <v>1020</v>
      </c>
      <c r="E298" s="8" t="s">
        <v>1315</v>
      </c>
      <c r="F298" s="8" t="s">
        <v>2192</v>
      </c>
      <c r="G298" s="8" t="s">
        <v>2408</v>
      </c>
      <c r="H298" s="8" t="s">
        <v>2409</v>
      </c>
      <c r="I298" s="8" t="s">
        <v>2413</v>
      </c>
      <c r="J298" s="16" t="s">
        <v>3893</v>
      </c>
      <c r="K298" s="16">
        <v>91517</v>
      </c>
      <c r="L298" s="8" t="s">
        <v>2419</v>
      </c>
      <c r="M298" s="8" t="s">
        <v>2716</v>
      </c>
      <c r="N298" s="8" t="s">
        <v>3371</v>
      </c>
      <c r="O298" s="8" t="s">
        <v>3375</v>
      </c>
      <c r="P298" s="8" t="s">
        <v>3625</v>
      </c>
      <c r="Q298" s="8">
        <v>1627.01</v>
      </c>
      <c r="R298" s="16">
        <v>13</v>
      </c>
      <c r="S298" s="21">
        <v>0.31</v>
      </c>
      <c r="T298" s="16">
        <v>-109.4</v>
      </c>
    </row>
    <row r="299" spans="1:20" x14ac:dyDescent="0.3">
      <c r="A299" s="5" t="s">
        <v>317</v>
      </c>
      <c r="B299" s="12">
        <v>43426.540543981479</v>
      </c>
      <c r="C299" s="12">
        <v>43432.540540540533</v>
      </c>
      <c r="D299" s="6" t="s">
        <v>1021</v>
      </c>
      <c r="E299" s="6" t="s">
        <v>1316</v>
      </c>
      <c r="F299" s="6" t="s">
        <v>2193</v>
      </c>
      <c r="G299" s="6" t="s">
        <v>2408</v>
      </c>
      <c r="H299" s="6" t="s">
        <v>2409</v>
      </c>
      <c r="I299" s="6" t="s">
        <v>2410</v>
      </c>
      <c r="J299" s="15" t="s">
        <v>3898</v>
      </c>
      <c r="K299" s="15">
        <v>75863</v>
      </c>
      <c r="L299" s="6" t="s">
        <v>2422</v>
      </c>
      <c r="M299" s="6" t="s">
        <v>2717</v>
      </c>
      <c r="N299" s="6" t="s">
        <v>3373</v>
      </c>
      <c r="O299" s="6" t="s">
        <v>3385</v>
      </c>
      <c r="P299" s="6" t="s">
        <v>3626</v>
      </c>
      <c r="Q299" s="6">
        <v>4084.82</v>
      </c>
      <c r="R299" s="15">
        <v>9</v>
      </c>
      <c r="S299" s="20">
        <v>0.35</v>
      </c>
      <c r="T299" s="15">
        <v>-81.17</v>
      </c>
    </row>
    <row r="300" spans="1:20" x14ac:dyDescent="0.3">
      <c r="A300" s="7" t="s">
        <v>318</v>
      </c>
      <c r="B300" s="13">
        <v>43427.636631944442</v>
      </c>
      <c r="C300" s="13">
        <v>43431.636636636627</v>
      </c>
      <c r="D300" s="8" t="s">
        <v>1023</v>
      </c>
      <c r="E300" s="8" t="s">
        <v>1317</v>
      </c>
      <c r="F300" s="8" t="s">
        <v>2051</v>
      </c>
      <c r="G300" s="8" t="s">
        <v>2407</v>
      </c>
      <c r="H300" s="8" t="s">
        <v>2409</v>
      </c>
      <c r="I300" s="8" t="s">
        <v>2410</v>
      </c>
      <c r="J300" s="16" t="s">
        <v>2410</v>
      </c>
      <c r="K300" s="16">
        <v>48769</v>
      </c>
      <c r="L300" s="8" t="s">
        <v>2420</v>
      </c>
      <c r="M300" s="8" t="s">
        <v>2718</v>
      </c>
      <c r="N300" s="8" t="s">
        <v>3372</v>
      </c>
      <c r="O300" s="8" t="s">
        <v>3378</v>
      </c>
      <c r="P300" s="8" t="s">
        <v>3460</v>
      </c>
      <c r="Q300" s="8">
        <v>2883.91</v>
      </c>
      <c r="R300" s="16">
        <v>4</v>
      </c>
      <c r="S300" s="21">
        <v>0.16</v>
      </c>
      <c r="T300" s="16">
        <v>1196.82</v>
      </c>
    </row>
    <row r="301" spans="1:20" x14ac:dyDescent="0.3">
      <c r="A301" s="5" t="s">
        <v>319</v>
      </c>
      <c r="B301" s="12">
        <v>43428.732731481483</v>
      </c>
      <c r="C301" s="12">
        <v>43431.732732732729</v>
      </c>
      <c r="D301" s="6" t="s">
        <v>1020</v>
      </c>
      <c r="E301" s="6" t="s">
        <v>1318</v>
      </c>
      <c r="F301" s="6" t="s">
        <v>2194</v>
      </c>
      <c r="G301" s="6" t="s">
        <v>2406</v>
      </c>
      <c r="H301" s="6" t="s">
        <v>2409</v>
      </c>
      <c r="I301" s="6" t="s">
        <v>2417</v>
      </c>
      <c r="J301" s="15" t="s">
        <v>3891</v>
      </c>
      <c r="K301" s="15">
        <v>47624</v>
      </c>
      <c r="L301" s="6" t="s">
        <v>2419</v>
      </c>
      <c r="M301" s="6" t="s">
        <v>2719</v>
      </c>
      <c r="N301" s="6" t="s">
        <v>3371</v>
      </c>
      <c r="O301" s="6" t="s">
        <v>3374</v>
      </c>
      <c r="P301" s="6" t="s">
        <v>3513</v>
      </c>
      <c r="Q301" s="6">
        <v>1859.99</v>
      </c>
      <c r="R301" s="15">
        <v>10</v>
      </c>
      <c r="S301" s="20">
        <v>0.6</v>
      </c>
      <c r="T301" s="15">
        <v>310.12</v>
      </c>
    </row>
    <row r="302" spans="1:20" x14ac:dyDescent="0.3">
      <c r="A302" s="7" t="s">
        <v>320</v>
      </c>
      <c r="B302" s="13">
        <v>43429.828831018516</v>
      </c>
      <c r="C302" s="13">
        <v>43430.828828828817</v>
      </c>
      <c r="D302" s="8" t="s">
        <v>1022</v>
      </c>
      <c r="E302" s="8" t="s">
        <v>1319</v>
      </c>
      <c r="F302" s="8" t="s">
        <v>2122</v>
      </c>
      <c r="G302" s="8" t="s">
        <v>2408</v>
      </c>
      <c r="H302" s="8" t="s">
        <v>2409</v>
      </c>
      <c r="I302" s="8" t="s">
        <v>2416</v>
      </c>
      <c r="J302" s="16" t="s">
        <v>3891</v>
      </c>
      <c r="K302" s="16">
        <v>23007</v>
      </c>
      <c r="L302" s="8" t="s">
        <v>2422</v>
      </c>
      <c r="M302" s="8" t="s">
        <v>2720</v>
      </c>
      <c r="N302" s="8" t="s">
        <v>3373</v>
      </c>
      <c r="O302" s="8" t="s">
        <v>3380</v>
      </c>
      <c r="P302" s="8" t="s">
        <v>3627</v>
      </c>
      <c r="Q302" s="8">
        <v>2882.01</v>
      </c>
      <c r="R302" s="16">
        <v>7</v>
      </c>
      <c r="S302" s="21">
        <v>0.12</v>
      </c>
      <c r="T302" s="16">
        <v>1495.7</v>
      </c>
    </row>
    <row r="303" spans="1:20" x14ac:dyDescent="0.3">
      <c r="A303" s="5" t="s">
        <v>321</v>
      </c>
      <c r="B303" s="12">
        <v>43430.924930555557</v>
      </c>
      <c r="C303" s="12">
        <v>43434.924924924919</v>
      </c>
      <c r="D303" s="6" t="s">
        <v>1020</v>
      </c>
      <c r="E303" s="6" t="s">
        <v>1320</v>
      </c>
      <c r="F303" s="6" t="s">
        <v>2045</v>
      </c>
      <c r="G303" s="6" t="s">
        <v>2406</v>
      </c>
      <c r="H303" s="6" t="s">
        <v>2409</v>
      </c>
      <c r="I303" s="6" t="s">
        <v>2412</v>
      </c>
      <c r="J303" s="15" t="s">
        <v>3898</v>
      </c>
      <c r="K303" s="15">
        <v>64453</v>
      </c>
      <c r="L303" s="6" t="s">
        <v>2419</v>
      </c>
      <c r="M303" s="6" t="s">
        <v>2721</v>
      </c>
      <c r="N303" s="6" t="s">
        <v>3373</v>
      </c>
      <c r="O303" s="6" t="s">
        <v>3380</v>
      </c>
      <c r="P303" s="6" t="s">
        <v>3628</v>
      </c>
      <c r="Q303" s="6">
        <v>4037.29</v>
      </c>
      <c r="R303" s="15">
        <v>3</v>
      </c>
      <c r="S303" s="20">
        <v>0.1</v>
      </c>
      <c r="T303" s="15">
        <v>-653.92999999999995</v>
      </c>
    </row>
    <row r="304" spans="1:20" x14ac:dyDescent="0.3">
      <c r="A304" s="7" t="s">
        <v>322</v>
      </c>
      <c r="B304" s="13">
        <v>43432.021018518521</v>
      </c>
      <c r="C304" s="13">
        <v>43434.021021021021</v>
      </c>
      <c r="D304" s="8" t="s">
        <v>1023</v>
      </c>
      <c r="E304" s="8" t="s">
        <v>1321</v>
      </c>
      <c r="F304" s="8" t="s">
        <v>2195</v>
      </c>
      <c r="G304" s="8" t="s">
        <v>2406</v>
      </c>
      <c r="H304" s="8" t="s">
        <v>2409</v>
      </c>
      <c r="I304" s="8" t="s">
        <v>2410</v>
      </c>
      <c r="J304" s="16" t="s">
        <v>3897</v>
      </c>
      <c r="K304" s="16">
        <v>17079</v>
      </c>
      <c r="L304" s="8" t="s">
        <v>2419</v>
      </c>
      <c r="M304" s="8" t="s">
        <v>2722</v>
      </c>
      <c r="N304" s="8" t="s">
        <v>3371</v>
      </c>
      <c r="O304" s="8" t="s">
        <v>3382</v>
      </c>
      <c r="P304" s="8" t="s">
        <v>3629</v>
      </c>
      <c r="Q304" s="8">
        <v>1261.2</v>
      </c>
      <c r="R304" s="16">
        <v>1</v>
      </c>
      <c r="S304" s="21">
        <v>0.71</v>
      </c>
      <c r="T304" s="16">
        <v>69.73</v>
      </c>
    </row>
    <row r="305" spans="1:20" x14ac:dyDescent="0.3">
      <c r="A305" s="5" t="s">
        <v>323</v>
      </c>
      <c r="B305" s="12">
        <v>43433.117118055554</v>
      </c>
      <c r="C305" s="12">
        <v>43438.117117117108</v>
      </c>
      <c r="D305" s="6" t="s">
        <v>1020</v>
      </c>
      <c r="E305" s="6" t="s">
        <v>1322</v>
      </c>
      <c r="F305" s="6" t="s">
        <v>2196</v>
      </c>
      <c r="G305" s="6" t="s">
        <v>2407</v>
      </c>
      <c r="H305" s="6" t="s">
        <v>2409</v>
      </c>
      <c r="I305" s="6" t="s">
        <v>2418</v>
      </c>
      <c r="J305" s="15" t="s">
        <v>3893</v>
      </c>
      <c r="K305" s="15">
        <v>21443</v>
      </c>
      <c r="L305" s="6" t="s">
        <v>2422</v>
      </c>
      <c r="M305" s="6" t="s">
        <v>2723</v>
      </c>
      <c r="N305" s="6" t="s">
        <v>3372</v>
      </c>
      <c r="O305" s="6" t="s">
        <v>3378</v>
      </c>
      <c r="P305" s="6" t="s">
        <v>3630</v>
      </c>
      <c r="Q305" s="6">
        <v>856.53</v>
      </c>
      <c r="R305" s="15">
        <v>5</v>
      </c>
      <c r="S305" s="20">
        <v>0.7</v>
      </c>
      <c r="T305" s="15">
        <v>23.56</v>
      </c>
    </row>
    <row r="306" spans="1:20" x14ac:dyDescent="0.3">
      <c r="A306" s="7" t="s">
        <v>324</v>
      </c>
      <c r="B306" s="13">
        <v>43434.213217592594</v>
      </c>
      <c r="C306" s="13">
        <v>43439.213213213203</v>
      </c>
      <c r="D306" s="8" t="s">
        <v>1023</v>
      </c>
      <c r="E306" s="8" t="s">
        <v>1252</v>
      </c>
      <c r="F306" s="8" t="s">
        <v>2197</v>
      </c>
      <c r="G306" s="8" t="s">
        <v>2407</v>
      </c>
      <c r="H306" s="8" t="s">
        <v>2409</v>
      </c>
      <c r="I306" s="8" t="s">
        <v>2411</v>
      </c>
      <c r="J306" s="16" t="s">
        <v>3891</v>
      </c>
      <c r="K306" s="16">
        <v>33975</v>
      </c>
      <c r="L306" s="8" t="s">
        <v>2422</v>
      </c>
      <c r="M306" s="8" t="s">
        <v>2724</v>
      </c>
      <c r="N306" s="8" t="s">
        <v>3372</v>
      </c>
      <c r="O306" s="8" t="s">
        <v>3377</v>
      </c>
      <c r="P306" s="8" t="s">
        <v>3631</v>
      </c>
      <c r="Q306" s="8">
        <v>4636.9399999999996</v>
      </c>
      <c r="R306" s="16">
        <v>14</v>
      </c>
      <c r="S306" s="21">
        <v>0.33</v>
      </c>
      <c r="T306" s="16">
        <v>-147.11000000000001</v>
      </c>
    </row>
    <row r="307" spans="1:20" x14ac:dyDescent="0.3">
      <c r="A307" s="5" t="s">
        <v>325</v>
      </c>
      <c r="B307" s="12">
        <v>43435.309305555558</v>
      </c>
      <c r="C307" s="12">
        <v>43438.309309309298</v>
      </c>
      <c r="D307" s="6" t="s">
        <v>1022</v>
      </c>
      <c r="E307" s="6" t="s">
        <v>1323</v>
      </c>
      <c r="F307" s="6" t="s">
        <v>2168</v>
      </c>
      <c r="G307" s="6" t="s">
        <v>2406</v>
      </c>
      <c r="H307" s="6" t="s">
        <v>2409</v>
      </c>
      <c r="I307" s="6" t="s">
        <v>2411</v>
      </c>
      <c r="J307" s="15" t="s">
        <v>3893</v>
      </c>
      <c r="K307" s="15">
        <v>11506</v>
      </c>
      <c r="L307" s="6" t="s">
        <v>2419</v>
      </c>
      <c r="M307" s="6" t="s">
        <v>2725</v>
      </c>
      <c r="N307" s="6" t="s">
        <v>3371</v>
      </c>
      <c r="O307" s="6" t="s">
        <v>3375</v>
      </c>
      <c r="P307" s="6" t="s">
        <v>3632</v>
      </c>
      <c r="Q307" s="6">
        <v>2120.8000000000002</v>
      </c>
      <c r="R307" s="15">
        <v>2</v>
      </c>
      <c r="S307" s="20">
        <v>0.47</v>
      </c>
      <c r="T307" s="15">
        <v>-170.16</v>
      </c>
    </row>
    <row r="308" spans="1:20" x14ac:dyDescent="0.3">
      <c r="A308" s="7" t="s">
        <v>326</v>
      </c>
      <c r="B308" s="13">
        <v>43436.405405092592</v>
      </c>
      <c r="C308" s="13">
        <v>43442.405405405407</v>
      </c>
      <c r="D308" s="8" t="s">
        <v>1022</v>
      </c>
      <c r="E308" s="8" t="s">
        <v>1324</v>
      </c>
      <c r="F308" s="8" t="s">
        <v>2198</v>
      </c>
      <c r="G308" s="8" t="s">
        <v>2407</v>
      </c>
      <c r="H308" s="8" t="s">
        <v>2409</v>
      </c>
      <c r="I308" s="8" t="s">
        <v>2410</v>
      </c>
      <c r="J308" s="16" t="s">
        <v>3897</v>
      </c>
      <c r="K308" s="16">
        <v>35300</v>
      </c>
      <c r="L308" s="8" t="s">
        <v>2421</v>
      </c>
      <c r="M308" s="8" t="s">
        <v>2726</v>
      </c>
      <c r="N308" s="8" t="s">
        <v>3373</v>
      </c>
      <c r="O308" s="8" t="s">
        <v>3379</v>
      </c>
      <c r="P308" s="8" t="s">
        <v>3633</v>
      </c>
      <c r="Q308" s="8">
        <v>2685.62</v>
      </c>
      <c r="R308" s="16">
        <v>14</v>
      </c>
      <c r="S308" s="21">
        <v>0.44</v>
      </c>
      <c r="T308" s="16">
        <v>1381.1</v>
      </c>
    </row>
    <row r="309" spans="1:20" x14ac:dyDescent="0.3">
      <c r="A309" s="5" t="s">
        <v>327</v>
      </c>
      <c r="B309" s="12">
        <v>43437.501504629632</v>
      </c>
      <c r="C309" s="12">
        <v>43441.501501501487</v>
      </c>
      <c r="D309" s="6" t="s">
        <v>1021</v>
      </c>
      <c r="E309" s="6" t="s">
        <v>1090</v>
      </c>
      <c r="F309" s="6" t="s">
        <v>2086</v>
      </c>
      <c r="G309" s="6" t="s">
        <v>2408</v>
      </c>
      <c r="H309" s="6" t="s">
        <v>2409</v>
      </c>
      <c r="I309" s="6" t="s">
        <v>2415</v>
      </c>
      <c r="J309" s="15" t="s">
        <v>3895</v>
      </c>
      <c r="K309" s="15">
        <v>44802</v>
      </c>
      <c r="L309" s="6" t="s">
        <v>2420</v>
      </c>
      <c r="M309" s="6" t="s">
        <v>2727</v>
      </c>
      <c r="N309" s="6" t="s">
        <v>3371</v>
      </c>
      <c r="O309" s="6" t="s">
        <v>3374</v>
      </c>
      <c r="P309" s="6" t="s">
        <v>3634</v>
      </c>
      <c r="Q309" s="6">
        <v>1111.6400000000001</v>
      </c>
      <c r="R309" s="15">
        <v>6</v>
      </c>
      <c r="S309" s="20">
        <v>0.59</v>
      </c>
      <c r="T309" s="15">
        <v>383.69</v>
      </c>
    </row>
    <row r="310" spans="1:20" x14ac:dyDescent="0.3">
      <c r="A310" s="7" t="s">
        <v>328</v>
      </c>
      <c r="B310" s="13">
        <v>43438.597592592596</v>
      </c>
      <c r="C310" s="13">
        <v>43444.597597597603</v>
      </c>
      <c r="D310" s="8" t="s">
        <v>1023</v>
      </c>
      <c r="E310" s="8" t="s">
        <v>1325</v>
      </c>
      <c r="F310" s="8" t="s">
        <v>2199</v>
      </c>
      <c r="G310" s="8" t="s">
        <v>2406</v>
      </c>
      <c r="H310" s="8" t="s">
        <v>2409</v>
      </c>
      <c r="I310" s="8" t="s">
        <v>2417</v>
      </c>
      <c r="J310" s="16" t="s">
        <v>3893</v>
      </c>
      <c r="K310" s="16">
        <v>97694</v>
      </c>
      <c r="L310" s="8" t="s">
        <v>2421</v>
      </c>
      <c r="M310" s="8" t="s">
        <v>2728</v>
      </c>
      <c r="N310" s="8" t="s">
        <v>3373</v>
      </c>
      <c r="O310" s="8" t="s">
        <v>3381</v>
      </c>
      <c r="P310" s="8" t="s">
        <v>3635</v>
      </c>
      <c r="Q310" s="8">
        <v>3727.56</v>
      </c>
      <c r="R310" s="16">
        <v>1</v>
      </c>
      <c r="S310" s="21">
        <v>0.52</v>
      </c>
      <c r="T310" s="16">
        <v>1102.04</v>
      </c>
    </row>
    <row r="311" spans="1:20" x14ac:dyDescent="0.3">
      <c r="A311" s="5" t="s">
        <v>329</v>
      </c>
      <c r="B311" s="12">
        <v>43439.693692129629</v>
      </c>
      <c r="C311" s="12">
        <v>43442.693693693691</v>
      </c>
      <c r="D311" s="6" t="s">
        <v>1023</v>
      </c>
      <c r="E311" s="6" t="s">
        <v>1326</v>
      </c>
      <c r="F311" s="6" t="s">
        <v>2200</v>
      </c>
      <c r="G311" s="6" t="s">
        <v>2407</v>
      </c>
      <c r="H311" s="6" t="s">
        <v>2409</v>
      </c>
      <c r="I311" s="6" t="s">
        <v>2413</v>
      </c>
      <c r="J311" s="15" t="s">
        <v>3891</v>
      </c>
      <c r="K311" s="15">
        <v>92482</v>
      </c>
      <c r="L311" s="6" t="s">
        <v>2419</v>
      </c>
      <c r="M311" s="6" t="s">
        <v>2729</v>
      </c>
      <c r="N311" s="6" t="s">
        <v>3372</v>
      </c>
      <c r="O311" s="6" t="s">
        <v>3377</v>
      </c>
      <c r="P311" s="6" t="s">
        <v>3619</v>
      </c>
      <c r="Q311" s="6">
        <v>2654.76</v>
      </c>
      <c r="R311" s="15">
        <v>3</v>
      </c>
      <c r="S311" s="20">
        <v>0.48</v>
      </c>
      <c r="T311" s="15">
        <v>1096.6400000000001</v>
      </c>
    </row>
    <row r="312" spans="1:20" x14ac:dyDescent="0.3">
      <c r="A312" s="7" t="s">
        <v>330</v>
      </c>
      <c r="B312" s="13">
        <v>43440.78979166667</v>
      </c>
      <c r="C312" s="13">
        <v>43441.789789789778</v>
      </c>
      <c r="D312" s="8" t="s">
        <v>1021</v>
      </c>
      <c r="E312" s="8" t="s">
        <v>1327</v>
      </c>
      <c r="F312" s="8" t="s">
        <v>2201</v>
      </c>
      <c r="G312" s="8" t="s">
        <v>2406</v>
      </c>
      <c r="H312" s="8" t="s">
        <v>2409</v>
      </c>
      <c r="I312" s="8" t="s">
        <v>2416</v>
      </c>
      <c r="J312" s="16" t="s">
        <v>3894</v>
      </c>
      <c r="K312" s="16">
        <v>58879</v>
      </c>
      <c r="L312" s="8" t="s">
        <v>2421</v>
      </c>
      <c r="M312" s="8" t="s">
        <v>2730</v>
      </c>
      <c r="N312" s="8" t="s">
        <v>3372</v>
      </c>
      <c r="O312" s="8" t="s">
        <v>3378</v>
      </c>
      <c r="P312" s="8" t="s">
        <v>3636</v>
      </c>
      <c r="Q312" s="8">
        <v>26.4</v>
      </c>
      <c r="R312" s="16">
        <v>8</v>
      </c>
      <c r="S312" s="21">
        <v>0.21</v>
      </c>
      <c r="T312" s="16">
        <v>10.23</v>
      </c>
    </row>
    <row r="313" spans="1:20" x14ac:dyDescent="0.3">
      <c r="A313" s="5" t="s">
        <v>331</v>
      </c>
      <c r="B313" s="12">
        <v>43441.885891203703</v>
      </c>
      <c r="C313" s="12">
        <v>43444.88588588588</v>
      </c>
      <c r="D313" s="6" t="s">
        <v>1021</v>
      </c>
      <c r="E313" s="6" t="s">
        <v>1328</v>
      </c>
      <c r="F313" s="6" t="s">
        <v>2202</v>
      </c>
      <c r="G313" s="6" t="s">
        <v>2408</v>
      </c>
      <c r="H313" s="6" t="s">
        <v>2409</v>
      </c>
      <c r="I313" s="6" t="s">
        <v>2417</v>
      </c>
      <c r="J313" s="15" t="s">
        <v>2410</v>
      </c>
      <c r="K313" s="15">
        <v>25789</v>
      </c>
      <c r="L313" s="6" t="s">
        <v>2420</v>
      </c>
      <c r="M313" s="6" t="s">
        <v>2731</v>
      </c>
      <c r="N313" s="6" t="s">
        <v>3373</v>
      </c>
      <c r="O313" s="6" t="s">
        <v>3385</v>
      </c>
      <c r="P313" s="6" t="s">
        <v>3603</v>
      </c>
      <c r="Q313" s="6">
        <v>1157.8399999999999</v>
      </c>
      <c r="R313" s="15">
        <v>6</v>
      </c>
      <c r="S313" s="20">
        <v>0.39</v>
      </c>
      <c r="T313" s="15">
        <v>-128.56</v>
      </c>
    </row>
    <row r="314" spans="1:20" x14ac:dyDescent="0.3">
      <c r="A314" s="7" t="s">
        <v>332</v>
      </c>
      <c r="B314" s="13">
        <v>43442.981979166667</v>
      </c>
      <c r="C314" s="13">
        <v>43444.981981981982</v>
      </c>
      <c r="D314" s="8" t="s">
        <v>1021</v>
      </c>
      <c r="E314" s="8" t="s">
        <v>1329</v>
      </c>
      <c r="F314" s="8" t="s">
        <v>2203</v>
      </c>
      <c r="G314" s="8" t="s">
        <v>2408</v>
      </c>
      <c r="H314" s="8" t="s">
        <v>2409</v>
      </c>
      <c r="I314" s="8" t="s">
        <v>2417</v>
      </c>
      <c r="J314" s="16" t="s">
        <v>3897</v>
      </c>
      <c r="K314" s="16">
        <v>12387</v>
      </c>
      <c r="L314" s="8" t="s">
        <v>2422</v>
      </c>
      <c r="M314" s="8" t="s">
        <v>2732</v>
      </c>
      <c r="N314" s="8" t="s">
        <v>3373</v>
      </c>
      <c r="O314" s="8" t="s">
        <v>3381</v>
      </c>
      <c r="P314" s="8" t="s">
        <v>3637</v>
      </c>
      <c r="Q314" s="8">
        <v>2542.84</v>
      </c>
      <c r="R314" s="16">
        <v>13</v>
      </c>
      <c r="S314" s="21">
        <v>0.21</v>
      </c>
      <c r="T314" s="16">
        <v>334.84</v>
      </c>
    </row>
    <row r="315" spans="1:20" x14ac:dyDescent="0.3">
      <c r="A315" s="5" t="s">
        <v>333</v>
      </c>
      <c r="B315" s="12">
        <v>43444.0780787037</v>
      </c>
      <c r="C315" s="12">
        <v>43449.07807807807</v>
      </c>
      <c r="D315" s="6" t="s">
        <v>1022</v>
      </c>
      <c r="E315" s="6" t="s">
        <v>1330</v>
      </c>
      <c r="F315" s="6" t="s">
        <v>1974</v>
      </c>
      <c r="G315" s="6" t="s">
        <v>2407</v>
      </c>
      <c r="H315" s="6" t="s">
        <v>2409</v>
      </c>
      <c r="I315" s="6" t="s">
        <v>2418</v>
      </c>
      <c r="J315" s="15" t="s">
        <v>3893</v>
      </c>
      <c r="K315" s="15">
        <v>74716</v>
      </c>
      <c r="L315" s="6" t="s">
        <v>2419</v>
      </c>
      <c r="M315" s="6" t="s">
        <v>2733</v>
      </c>
      <c r="N315" s="6" t="s">
        <v>3371</v>
      </c>
      <c r="O315" s="6" t="s">
        <v>3382</v>
      </c>
      <c r="P315" s="6" t="s">
        <v>3514</v>
      </c>
      <c r="Q315" s="6">
        <v>1915.12</v>
      </c>
      <c r="R315" s="15">
        <v>9</v>
      </c>
      <c r="S315" s="20">
        <v>0.06</v>
      </c>
      <c r="T315" s="15">
        <v>381.9</v>
      </c>
    </row>
    <row r="316" spans="1:20" x14ac:dyDescent="0.3">
      <c r="A316" s="7" t="s">
        <v>334</v>
      </c>
      <c r="B316" s="13">
        <v>43445.174178240741</v>
      </c>
      <c r="C316" s="13">
        <v>43451.174174174157</v>
      </c>
      <c r="D316" s="8" t="s">
        <v>1023</v>
      </c>
      <c r="E316" s="8" t="s">
        <v>1331</v>
      </c>
      <c r="F316" s="8" t="s">
        <v>2204</v>
      </c>
      <c r="G316" s="8" t="s">
        <v>2407</v>
      </c>
      <c r="H316" s="8" t="s">
        <v>2409</v>
      </c>
      <c r="I316" s="8" t="s">
        <v>2410</v>
      </c>
      <c r="J316" s="16" t="s">
        <v>3895</v>
      </c>
      <c r="K316" s="16">
        <v>88632</v>
      </c>
      <c r="L316" s="8" t="s">
        <v>2420</v>
      </c>
      <c r="M316" s="8" t="s">
        <v>2734</v>
      </c>
      <c r="N316" s="8" t="s">
        <v>3373</v>
      </c>
      <c r="O316" s="8" t="s">
        <v>3379</v>
      </c>
      <c r="P316" s="8" t="s">
        <v>3542</v>
      </c>
      <c r="Q316" s="8">
        <v>401.61</v>
      </c>
      <c r="R316" s="16">
        <v>13</v>
      </c>
      <c r="S316" s="21">
        <v>0.53</v>
      </c>
      <c r="T316" s="16">
        <v>-79.84</v>
      </c>
    </row>
    <row r="317" spans="1:20" x14ac:dyDescent="0.3">
      <c r="A317" s="5" t="s">
        <v>335</v>
      </c>
      <c r="B317" s="12">
        <v>43446.270266203705</v>
      </c>
      <c r="C317" s="12">
        <v>43452.270270270274</v>
      </c>
      <c r="D317" s="6" t="s">
        <v>1021</v>
      </c>
      <c r="E317" s="6" t="s">
        <v>1332</v>
      </c>
      <c r="F317" s="6" t="s">
        <v>2050</v>
      </c>
      <c r="G317" s="6" t="s">
        <v>2406</v>
      </c>
      <c r="H317" s="6" t="s">
        <v>2409</v>
      </c>
      <c r="I317" s="6" t="s">
        <v>2411</v>
      </c>
      <c r="J317" s="15" t="s">
        <v>3894</v>
      </c>
      <c r="K317" s="15">
        <v>85978</v>
      </c>
      <c r="L317" s="6" t="s">
        <v>2420</v>
      </c>
      <c r="M317" s="6" t="s">
        <v>2735</v>
      </c>
      <c r="N317" s="6" t="s">
        <v>3373</v>
      </c>
      <c r="O317" s="6" t="s">
        <v>3385</v>
      </c>
      <c r="P317" s="6" t="s">
        <v>3638</v>
      </c>
      <c r="Q317" s="6">
        <v>3094.86</v>
      </c>
      <c r="R317" s="15">
        <v>1</v>
      </c>
      <c r="S317" s="20">
        <v>0.46</v>
      </c>
      <c r="T317" s="15">
        <v>-268.97000000000003</v>
      </c>
    </row>
    <row r="318" spans="1:20" x14ac:dyDescent="0.3">
      <c r="A318" s="7" t="s">
        <v>336</v>
      </c>
      <c r="B318" s="13">
        <v>43447.366365740738</v>
      </c>
      <c r="C318" s="13">
        <v>43449.366366366368</v>
      </c>
      <c r="D318" s="8" t="s">
        <v>1020</v>
      </c>
      <c r="E318" s="8" t="s">
        <v>1333</v>
      </c>
      <c r="F318" s="8" t="s">
        <v>2205</v>
      </c>
      <c r="G318" s="8" t="s">
        <v>2408</v>
      </c>
      <c r="H318" s="8" t="s">
        <v>2409</v>
      </c>
      <c r="I318" s="8" t="s">
        <v>2413</v>
      </c>
      <c r="J318" s="16" t="s">
        <v>3891</v>
      </c>
      <c r="K318" s="16">
        <v>33640</v>
      </c>
      <c r="L318" s="8" t="s">
        <v>2421</v>
      </c>
      <c r="M318" s="8" t="s">
        <v>2736</v>
      </c>
      <c r="N318" s="8" t="s">
        <v>3371</v>
      </c>
      <c r="O318" s="8" t="s">
        <v>3375</v>
      </c>
      <c r="P318" s="8" t="s">
        <v>3639</v>
      </c>
      <c r="Q318" s="8">
        <v>113.03</v>
      </c>
      <c r="R318" s="16">
        <v>1</v>
      </c>
      <c r="S318" s="21">
        <v>0.03</v>
      </c>
      <c r="T318" s="16">
        <v>17.489999999999998</v>
      </c>
    </row>
    <row r="319" spans="1:20" x14ac:dyDescent="0.3">
      <c r="A319" s="5" t="s">
        <v>337</v>
      </c>
      <c r="B319" s="12">
        <v>43448.462465277778</v>
      </c>
      <c r="C319" s="12">
        <v>43453.462462462463</v>
      </c>
      <c r="D319" s="6" t="s">
        <v>1022</v>
      </c>
      <c r="E319" s="6" t="s">
        <v>1334</v>
      </c>
      <c r="F319" s="6" t="s">
        <v>2095</v>
      </c>
      <c r="G319" s="6" t="s">
        <v>2408</v>
      </c>
      <c r="H319" s="6" t="s">
        <v>2409</v>
      </c>
      <c r="I319" s="6" t="s">
        <v>2413</v>
      </c>
      <c r="J319" s="15" t="s">
        <v>2410</v>
      </c>
      <c r="K319" s="15">
        <v>68439</v>
      </c>
      <c r="L319" s="6" t="s">
        <v>2421</v>
      </c>
      <c r="M319" s="6" t="s">
        <v>2737</v>
      </c>
      <c r="N319" s="6" t="s">
        <v>3373</v>
      </c>
      <c r="O319" s="6" t="s">
        <v>3380</v>
      </c>
      <c r="P319" s="6" t="s">
        <v>3549</v>
      </c>
      <c r="Q319" s="6">
        <v>1189.1600000000001</v>
      </c>
      <c r="R319" s="15">
        <v>3</v>
      </c>
      <c r="S319" s="20">
        <v>0.84</v>
      </c>
      <c r="T319" s="15">
        <v>463.26</v>
      </c>
    </row>
    <row r="320" spans="1:20" x14ac:dyDescent="0.3">
      <c r="A320" s="7" t="s">
        <v>338</v>
      </c>
      <c r="B320" s="13">
        <v>43449.558553240742</v>
      </c>
      <c r="C320" s="13">
        <v>43450.55855855855</v>
      </c>
      <c r="D320" s="8" t="s">
        <v>1022</v>
      </c>
      <c r="E320" s="8" t="s">
        <v>1335</v>
      </c>
      <c r="F320" s="8" t="s">
        <v>2136</v>
      </c>
      <c r="G320" s="8" t="s">
        <v>2408</v>
      </c>
      <c r="H320" s="8" t="s">
        <v>2409</v>
      </c>
      <c r="I320" s="8" t="s">
        <v>2413</v>
      </c>
      <c r="J320" s="16" t="s">
        <v>2410</v>
      </c>
      <c r="K320" s="16">
        <v>66646</v>
      </c>
      <c r="L320" s="8" t="s">
        <v>2422</v>
      </c>
      <c r="M320" s="8" t="s">
        <v>2738</v>
      </c>
      <c r="N320" s="8" t="s">
        <v>3372</v>
      </c>
      <c r="O320" s="8" t="s">
        <v>3384</v>
      </c>
      <c r="P320" s="8" t="s">
        <v>3640</v>
      </c>
      <c r="Q320" s="8">
        <v>3824.1</v>
      </c>
      <c r="R320" s="16">
        <v>7</v>
      </c>
      <c r="S320" s="21">
        <v>0.5</v>
      </c>
      <c r="T320" s="16">
        <v>-214.3</v>
      </c>
    </row>
    <row r="321" spans="1:20" x14ac:dyDescent="0.3">
      <c r="A321" s="5" t="s">
        <v>339</v>
      </c>
      <c r="B321" s="12">
        <v>43450.654652777775</v>
      </c>
      <c r="C321" s="12">
        <v>43455.654654654652</v>
      </c>
      <c r="D321" s="6" t="s">
        <v>1020</v>
      </c>
      <c r="E321" s="6" t="s">
        <v>1336</v>
      </c>
      <c r="F321" s="6" t="s">
        <v>2206</v>
      </c>
      <c r="G321" s="6" t="s">
        <v>2406</v>
      </c>
      <c r="H321" s="6" t="s">
        <v>2409</v>
      </c>
      <c r="I321" s="6" t="s">
        <v>2413</v>
      </c>
      <c r="J321" s="15" t="s">
        <v>3893</v>
      </c>
      <c r="K321" s="15">
        <v>88243</v>
      </c>
      <c r="L321" s="6" t="s">
        <v>2420</v>
      </c>
      <c r="M321" s="6" t="s">
        <v>2739</v>
      </c>
      <c r="N321" s="6" t="s">
        <v>3371</v>
      </c>
      <c r="O321" s="6" t="s">
        <v>3375</v>
      </c>
      <c r="P321" s="6" t="s">
        <v>3641</v>
      </c>
      <c r="Q321" s="6">
        <v>4318.3599999999997</v>
      </c>
      <c r="R321" s="15">
        <v>4</v>
      </c>
      <c r="S321" s="20">
        <v>0.45</v>
      </c>
      <c r="T321" s="15">
        <v>490.76</v>
      </c>
    </row>
    <row r="322" spans="1:20" x14ac:dyDescent="0.3">
      <c r="A322" s="7" t="s">
        <v>340</v>
      </c>
      <c r="B322" s="13">
        <v>43451.750752314816</v>
      </c>
      <c r="C322" s="13">
        <v>43453.75075075074</v>
      </c>
      <c r="D322" s="8" t="s">
        <v>1023</v>
      </c>
      <c r="E322" s="8" t="s">
        <v>1337</v>
      </c>
      <c r="F322" s="8" t="s">
        <v>2192</v>
      </c>
      <c r="G322" s="8" t="s">
        <v>2407</v>
      </c>
      <c r="H322" s="8" t="s">
        <v>2409</v>
      </c>
      <c r="I322" s="8" t="s">
        <v>2418</v>
      </c>
      <c r="J322" s="16" t="s">
        <v>3898</v>
      </c>
      <c r="K322" s="16">
        <v>33558</v>
      </c>
      <c r="L322" s="8" t="s">
        <v>2420</v>
      </c>
      <c r="M322" s="8" t="s">
        <v>2740</v>
      </c>
      <c r="N322" s="8" t="s">
        <v>3371</v>
      </c>
      <c r="O322" s="8" t="s">
        <v>3375</v>
      </c>
      <c r="P322" s="8" t="s">
        <v>3496</v>
      </c>
      <c r="Q322" s="8">
        <v>2914.27</v>
      </c>
      <c r="R322" s="16">
        <v>8</v>
      </c>
      <c r="S322" s="21">
        <v>0.2</v>
      </c>
      <c r="T322" s="16">
        <v>619.69000000000005</v>
      </c>
    </row>
    <row r="323" spans="1:20" x14ac:dyDescent="0.3">
      <c r="A323" s="5" t="s">
        <v>341</v>
      </c>
      <c r="B323" s="12">
        <v>43452.846851851849</v>
      </c>
      <c r="C323" s="12">
        <v>43457.846846846842</v>
      </c>
      <c r="D323" s="6" t="s">
        <v>1022</v>
      </c>
      <c r="E323" s="6" t="s">
        <v>1338</v>
      </c>
      <c r="F323" s="6" t="s">
        <v>2207</v>
      </c>
      <c r="G323" s="6" t="s">
        <v>2407</v>
      </c>
      <c r="H323" s="6" t="s">
        <v>2409</v>
      </c>
      <c r="I323" s="6" t="s">
        <v>2410</v>
      </c>
      <c r="J323" s="15" t="s">
        <v>3892</v>
      </c>
      <c r="K323" s="15">
        <v>69345</v>
      </c>
      <c r="L323" s="6" t="s">
        <v>2421</v>
      </c>
      <c r="M323" s="6" t="s">
        <v>2741</v>
      </c>
      <c r="N323" s="6" t="s">
        <v>3372</v>
      </c>
      <c r="O323" s="6" t="s">
        <v>3376</v>
      </c>
      <c r="P323" s="6" t="s">
        <v>3642</v>
      </c>
      <c r="Q323" s="6">
        <v>1376.29</v>
      </c>
      <c r="R323" s="15">
        <v>7</v>
      </c>
      <c r="S323" s="20">
        <v>0.52</v>
      </c>
      <c r="T323" s="15">
        <v>777.92</v>
      </c>
    </row>
    <row r="324" spans="1:20" x14ac:dyDescent="0.3">
      <c r="A324" s="7" t="s">
        <v>342</v>
      </c>
      <c r="B324" s="13">
        <v>43453.942939814813</v>
      </c>
      <c r="C324" s="13">
        <v>43456.942942942936</v>
      </c>
      <c r="D324" s="8" t="s">
        <v>1023</v>
      </c>
      <c r="E324" s="8" t="s">
        <v>1339</v>
      </c>
      <c r="F324" s="8" t="s">
        <v>2208</v>
      </c>
      <c r="G324" s="8" t="s">
        <v>2407</v>
      </c>
      <c r="H324" s="8" t="s">
        <v>2409</v>
      </c>
      <c r="I324" s="8" t="s">
        <v>2414</v>
      </c>
      <c r="J324" s="16" t="s">
        <v>3892</v>
      </c>
      <c r="K324" s="16">
        <v>42973</v>
      </c>
      <c r="L324" s="8" t="s">
        <v>2419</v>
      </c>
      <c r="M324" s="8" t="s">
        <v>2742</v>
      </c>
      <c r="N324" s="8" t="s">
        <v>3371</v>
      </c>
      <c r="O324" s="8" t="s">
        <v>3382</v>
      </c>
      <c r="P324" s="8" t="s">
        <v>3643</v>
      </c>
      <c r="Q324" s="8">
        <v>2465.6</v>
      </c>
      <c r="R324" s="16">
        <v>5</v>
      </c>
      <c r="S324" s="21">
        <v>0.56000000000000005</v>
      </c>
      <c r="T324" s="16">
        <v>1177.4100000000001</v>
      </c>
    </row>
    <row r="325" spans="1:20" x14ac:dyDescent="0.3">
      <c r="A325" s="5" t="s">
        <v>343</v>
      </c>
      <c r="B325" s="12">
        <v>43455.039039351854</v>
      </c>
      <c r="C325" s="12">
        <v>43458.039039039031</v>
      </c>
      <c r="D325" s="6" t="s">
        <v>1022</v>
      </c>
      <c r="E325" s="6" t="s">
        <v>1340</v>
      </c>
      <c r="F325" s="6" t="s">
        <v>2209</v>
      </c>
      <c r="G325" s="6" t="s">
        <v>2407</v>
      </c>
      <c r="H325" s="6" t="s">
        <v>2409</v>
      </c>
      <c r="I325" s="6" t="s">
        <v>2414</v>
      </c>
      <c r="J325" s="15" t="s">
        <v>3895</v>
      </c>
      <c r="K325" s="15">
        <v>45527</v>
      </c>
      <c r="L325" s="6" t="s">
        <v>2422</v>
      </c>
      <c r="M325" s="6" t="s">
        <v>2743</v>
      </c>
      <c r="N325" s="6" t="s">
        <v>3371</v>
      </c>
      <c r="O325" s="6" t="s">
        <v>3375</v>
      </c>
      <c r="P325" s="6" t="s">
        <v>3490</v>
      </c>
      <c r="Q325" s="6">
        <v>595.16999999999996</v>
      </c>
      <c r="R325" s="15">
        <v>2</v>
      </c>
      <c r="S325" s="20">
        <v>0.79</v>
      </c>
      <c r="T325" s="15">
        <v>335.02</v>
      </c>
    </row>
    <row r="326" spans="1:20" x14ac:dyDescent="0.3">
      <c r="A326" s="7" t="s">
        <v>344</v>
      </c>
      <c r="B326" s="13">
        <v>43456.135138888887</v>
      </c>
      <c r="C326" s="13">
        <v>43461.135135135133</v>
      </c>
      <c r="D326" s="8" t="s">
        <v>1020</v>
      </c>
      <c r="E326" s="8" t="s">
        <v>1341</v>
      </c>
      <c r="F326" s="8" t="s">
        <v>2209</v>
      </c>
      <c r="G326" s="8" t="s">
        <v>2407</v>
      </c>
      <c r="H326" s="8" t="s">
        <v>2409</v>
      </c>
      <c r="I326" s="8" t="s">
        <v>2414</v>
      </c>
      <c r="J326" s="16" t="s">
        <v>3892</v>
      </c>
      <c r="K326" s="16">
        <v>80295</v>
      </c>
      <c r="L326" s="8" t="s">
        <v>2421</v>
      </c>
      <c r="M326" s="8" t="s">
        <v>2744</v>
      </c>
      <c r="N326" s="8" t="s">
        <v>3372</v>
      </c>
      <c r="O326" s="8" t="s">
        <v>3376</v>
      </c>
      <c r="P326" s="8" t="s">
        <v>3644</v>
      </c>
      <c r="Q326" s="8">
        <v>3401.23</v>
      </c>
      <c r="R326" s="16">
        <v>5</v>
      </c>
      <c r="S326" s="21">
        <v>0.34</v>
      </c>
      <c r="T326" s="16">
        <v>1872.89</v>
      </c>
    </row>
    <row r="327" spans="1:20" x14ac:dyDescent="0.3">
      <c r="A327" s="5" t="s">
        <v>345</v>
      </c>
      <c r="B327" s="12">
        <v>43457.231226851851</v>
      </c>
      <c r="C327" s="12">
        <v>43459.231231231228</v>
      </c>
      <c r="D327" s="6" t="s">
        <v>1023</v>
      </c>
      <c r="E327" s="6" t="s">
        <v>1342</v>
      </c>
      <c r="F327" s="6" t="s">
        <v>2092</v>
      </c>
      <c r="G327" s="6" t="s">
        <v>2408</v>
      </c>
      <c r="H327" s="6" t="s">
        <v>2409</v>
      </c>
      <c r="I327" s="6" t="s">
        <v>2413</v>
      </c>
      <c r="J327" s="15" t="s">
        <v>3896</v>
      </c>
      <c r="K327" s="15">
        <v>37983</v>
      </c>
      <c r="L327" s="6" t="s">
        <v>2420</v>
      </c>
      <c r="M327" s="6" t="s">
        <v>2718</v>
      </c>
      <c r="N327" s="6" t="s">
        <v>3372</v>
      </c>
      <c r="O327" s="6" t="s">
        <v>3376</v>
      </c>
      <c r="P327" s="6" t="s">
        <v>3645</v>
      </c>
      <c r="Q327" s="6">
        <v>4539.75</v>
      </c>
      <c r="R327" s="15">
        <v>7</v>
      </c>
      <c r="S327" s="20">
        <v>0.67</v>
      </c>
      <c r="T327" s="15">
        <v>1388.83</v>
      </c>
    </row>
    <row r="328" spans="1:20" x14ac:dyDescent="0.3">
      <c r="A328" s="7" t="s">
        <v>346</v>
      </c>
      <c r="B328" s="13">
        <v>43458.327326388891</v>
      </c>
      <c r="C328" s="13">
        <v>43459.32732732733</v>
      </c>
      <c r="D328" s="8" t="s">
        <v>1020</v>
      </c>
      <c r="E328" s="8" t="s">
        <v>1343</v>
      </c>
      <c r="F328" s="8" t="s">
        <v>2046</v>
      </c>
      <c r="G328" s="8" t="s">
        <v>2407</v>
      </c>
      <c r="H328" s="8" t="s">
        <v>2409</v>
      </c>
      <c r="I328" s="8" t="s">
        <v>2413</v>
      </c>
      <c r="J328" s="16" t="s">
        <v>2410</v>
      </c>
      <c r="K328" s="16">
        <v>39204</v>
      </c>
      <c r="L328" s="8" t="s">
        <v>2420</v>
      </c>
      <c r="M328" s="8" t="s">
        <v>2745</v>
      </c>
      <c r="N328" s="8" t="s">
        <v>3371</v>
      </c>
      <c r="O328" s="8" t="s">
        <v>3383</v>
      </c>
      <c r="P328" s="8" t="s">
        <v>3453</v>
      </c>
      <c r="Q328" s="8">
        <v>2380.5300000000002</v>
      </c>
      <c r="R328" s="16">
        <v>5</v>
      </c>
      <c r="S328" s="21">
        <v>0.5</v>
      </c>
      <c r="T328" s="16">
        <v>1216.42</v>
      </c>
    </row>
    <row r="329" spans="1:20" x14ac:dyDescent="0.3">
      <c r="A329" s="5" t="s">
        <v>347</v>
      </c>
      <c r="B329" s="12">
        <v>43459.423425925925</v>
      </c>
      <c r="C329" s="12">
        <v>43465.423423423417</v>
      </c>
      <c r="D329" s="6" t="s">
        <v>1020</v>
      </c>
      <c r="E329" s="6" t="s">
        <v>1344</v>
      </c>
      <c r="F329" s="6" t="s">
        <v>2011</v>
      </c>
      <c r="G329" s="6" t="s">
        <v>2408</v>
      </c>
      <c r="H329" s="6" t="s">
        <v>2409</v>
      </c>
      <c r="I329" s="6" t="s">
        <v>2414</v>
      </c>
      <c r="J329" s="15" t="s">
        <v>3896</v>
      </c>
      <c r="K329" s="15">
        <v>63832</v>
      </c>
      <c r="L329" s="6" t="s">
        <v>2420</v>
      </c>
      <c r="M329" s="6" t="s">
        <v>2746</v>
      </c>
      <c r="N329" s="6" t="s">
        <v>3371</v>
      </c>
      <c r="O329" s="6" t="s">
        <v>3382</v>
      </c>
      <c r="P329" s="6" t="s">
        <v>3646</v>
      </c>
      <c r="Q329" s="6">
        <v>1416.59</v>
      </c>
      <c r="R329" s="15">
        <v>8</v>
      </c>
      <c r="S329" s="20">
        <v>0.51</v>
      </c>
      <c r="T329" s="15">
        <v>321.33999999999997</v>
      </c>
    </row>
    <row r="330" spans="1:20" x14ac:dyDescent="0.3">
      <c r="A330" s="7" t="s">
        <v>348</v>
      </c>
      <c r="B330" s="13">
        <v>43460.519513888888</v>
      </c>
      <c r="C330" s="13">
        <v>43466.519519519512</v>
      </c>
      <c r="D330" s="8" t="s">
        <v>1022</v>
      </c>
      <c r="E330" s="8" t="s">
        <v>1230</v>
      </c>
      <c r="F330" s="8" t="s">
        <v>2136</v>
      </c>
      <c r="G330" s="8" t="s">
        <v>2406</v>
      </c>
      <c r="H330" s="8" t="s">
        <v>2409</v>
      </c>
      <c r="I330" s="8" t="s">
        <v>2417</v>
      </c>
      <c r="J330" s="16" t="s">
        <v>3895</v>
      </c>
      <c r="K330" s="16">
        <v>37638</v>
      </c>
      <c r="L330" s="8" t="s">
        <v>2422</v>
      </c>
      <c r="M330" s="8" t="s">
        <v>2500</v>
      </c>
      <c r="N330" s="8" t="s">
        <v>3371</v>
      </c>
      <c r="O330" s="8" t="s">
        <v>3375</v>
      </c>
      <c r="P330" s="8" t="s">
        <v>3475</v>
      </c>
      <c r="Q330" s="8">
        <v>854.85</v>
      </c>
      <c r="R330" s="16">
        <v>3</v>
      </c>
      <c r="S330" s="21">
        <v>0.87</v>
      </c>
      <c r="T330" s="16">
        <v>105.34</v>
      </c>
    </row>
    <row r="331" spans="1:20" x14ac:dyDescent="0.3">
      <c r="A331" s="5" t="s">
        <v>349</v>
      </c>
      <c r="B331" s="12">
        <v>43461.615613425929</v>
      </c>
      <c r="C331" s="12">
        <v>43467.615615615607</v>
      </c>
      <c r="D331" s="6" t="s">
        <v>1021</v>
      </c>
      <c r="E331" s="6" t="s">
        <v>1345</v>
      </c>
      <c r="F331" s="6" t="s">
        <v>2210</v>
      </c>
      <c r="G331" s="6" t="s">
        <v>2407</v>
      </c>
      <c r="H331" s="6" t="s">
        <v>2409</v>
      </c>
      <c r="I331" s="6" t="s">
        <v>2416</v>
      </c>
      <c r="J331" s="15" t="s">
        <v>3896</v>
      </c>
      <c r="K331" s="15">
        <v>97224</v>
      </c>
      <c r="L331" s="6" t="s">
        <v>2419</v>
      </c>
      <c r="M331" s="6" t="s">
        <v>2747</v>
      </c>
      <c r="N331" s="6" t="s">
        <v>3372</v>
      </c>
      <c r="O331" s="6" t="s">
        <v>3376</v>
      </c>
      <c r="P331" s="6" t="s">
        <v>3497</v>
      </c>
      <c r="Q331" s="6">
        <v>2886.03</v>
      </c>
      <c r="R331" s="15">
        <v>10</v>
      </c>
      <c r="S331" s="20">
        <v>0.09</v>
      </c>
      <c r="T331" s="15">
        <v>1337.61</v>
      </c>
    </row>
    <row r="332" spans="1:20" x14ac:dyDescent="0.3">
      <c r="A332" s="7" t="s">
        <v>350</v>
      </c>
      <c r="B332" s="13">
        <v>43462.711712962962</v>
      </c>
      <c r="C332" s="13">
        <v>43465.711711711701</v>
      </c>
      <c r="D332" s="8" t="s">
        <v>1023</v>
      </c>
      <c r="E332" s="8" t="s">
        <v>1346</v>
      </c>
      <c r="F332" s="8" t="s">
        <v>2058</v>
      </c>
      <c r="G332" s="8" t="s">
        <v>2407</v>
      </c>
      <c r="H332" s="8" t="s">
        <v>2409</v>
      </c>
      <c r="I332" s="8" t="s">
        <v>2415</v>
      </c>
      <c r="J332" s="16" t="s">
        <v>3895</v>
      </c>
      <c r="K332" s="16">
        <v>67391</v>
      </c>
      <c r="L332" s="8" t="s">
        <v>2421</v>
      </c>
      <c r="M332" s="8" t="s">
        <v>2748</v>
      </c>
      <c r="N332" s="8" t="s">
        <v>3371</v>
      </c>
      <c r="O332" s="8" t="s">
        <v>3375</v>
      </c>
      <c r="P332" s="8" t="s">
        <v>3647</v>
      </c>
      <c r="Q332" s="8">
        <v>2677.25</v>
      </c>
      <c r="R332" s="16">
        <v>10</v>
      </c>
      <c r="S332" s="21">
        <v>0.7</v>
      </c>
      <c r="T332" s="16">
        <v>214.98</v>
      </c>
    </row>
    <row r="333" spans="1:20" x14ac:dyDescent="0.3">
      <c r="A333" s="5" t="s">
        <v>351</v>
      </c>
      <c r="B333" s="12">
        <v>43463.807812500003</v>
      </c>
      <c r="C333" s="12">
        <v>43467.807807807803</v>
      </c>
      <c r="D333" s="6" t="s">
        <v>1023</v>
      </c>
      <c r="E333" s="6" t="s">
        <v>1347</v>
      </c>
      <c r="F333" s="6" t="s">
        <v>2074</v>
      </c>
      <c r="G333" s="6" t="s">
        <v>2408</v>
      </c>
      <c r="H333" s="6" t="s">
        <v>2409</v>
      </c>
      <c r="I333" s="6" t="s">
        <v>2416</v>
      </c>
      <c r="J333" s="15" t="s">
        <v>3891</v>
      </c>
      <c r="K333" s="15">
        <v>66748</v>
      </c>
      <c r="L333" s="6" t="s">
        <v>2420</v>
      </c>
      <c r="M333" s="6" t="s">
        <v>2749</v>
      </c>
      <c r="N333" s="6" t="s">
        <v>3372</v>
      </c>
      <c r="O333" s="6" t="s">
        <v>3376</v>
      </c>
      <c r="P333" s="6" t="s">
        <v>3648</v>
      </c>
      <c r="Q333" s="6">
        <v>4621.8900000000003</v>
      </c>
      <c r="R333" s="15">
        <v>12</v>
      </c>
      <c r="S333" s="20">
        <v>0.61</v>
      </c>
      <c r="T333" s="15">
        <v>-869.6</v>
      </c>
    </row>
    <row r="334" spans="1:20" x14ac:dyDescent="0.3">
      <c r="A334" s="7" t="s">
        <v>352</v>
      </c>
      <c r="B334" s="13">
        <v>43464.903900462959</v>
      </c>
      <c r="C334" s="13">
        <v>43470.903903903898</v>
      </c>
      <c r="D334" s="8" t="s">
        <v>1021</v>
      </c>
      <c r="E334" s="8" t="s">
        <v>1348</v>
      </c>
      <c r="F334" s="8" t="s">
        <v>2021</v>
      </c>
      <c r="G334" s="8" t="s">
        <v>2406</v>
      </c>
      <c r="H334" s="8" t="s">
        <v>2409</v>
      </c>
      <c r="I334" s="8" t="s">
        <v>2411</v>
      </c>
      <c r="J334" s="16" t="s">
        <v>3898</v>
      </c>
      <c r="K334" s="16">
        <v>35578</v>
      </c>
      <c r="L334" s="8" t="s">
        <v>2419</v>
      </c>
      <c r="M334" s="8" t="s">
        <v>2750</v>
      </c>
      <c r="N334" s="8" t="s">
        <v>3372</v>
      </c>
      <c r="O334" s="8" t="s">
        <v>3384</v>
      </c>
      <c r="P334" s="8" t="s">
        <v>3649</v>
      </c>
      <c r="Q334" s="8">
        <v>2075.5100000000002</v>
      </c>
      <c r="R334" s="16">
        <v>8</v>
      </c>
      <c r="S334" s="21">
        <v>0.79</v>
      </c>
      <c r="T334" s="16">
        <v>533.42999999999995</v>
      </c>
    </row>
    <row r="335" spans="1:20" x14ac:dyDescent="0.3">
      <c r="A335" s="5" t="s">
        <v>353</v>
      </c>
      <c r="B335" s="12">
        <v>43466</v>
      </c>
      <c r="C335" s="12">
        <v>43472</v>
      </c>
      <c r="D335" s="6" t="s">
        <v>1020</v>
      </c>
      <c r="E335" s="6" t="s">
        <v>1349</v>
      </c>
      <c r="F335" s="6" t="s">
        <v>2211</v>
      </c>
      <c r="G335" s="6" t="s">
        <v>2408</v>
      </c>
      <c r="H335" s="6" t="s">
        <v>2409</v>
      </c>
      <c r="I335" s="6" t="s">
        <v>2413</v>
      </c>
      <c r="J335" s="15" t="s">
        <v>3892</v>
      </c>
      <c r="K335" s="15">
        <v>39675</v>
      </c>
      <c r="L335" s="6" t="s">
        <v>2421</v>
      </c>
      <c r="M335" s="6" t="s">
        <v>2751</v>
      </c>
      <c r="N335" s="6" t="s">
        <v>3372</v>
      </c>
      <c r="O335" s="6" t="s">
        <v>3378</v>
      </c>
      <c r="P335" s="6" t="s">
        <v>3458</v>
      </c>
      <c r="Q335" s="6">
        <v>4289.1000000000004</v>
      </c>
      <c r="R335" s="15">
        <v>8</v>
      </c>
      <c r="S335" s="20">
        <v>0.01</v>
      </c>
      <c r="T335" s="15">
        <v>1573.49</v>
      </c>
    </row>
    <row r="336" spans="1:20" x14ac:dyDescent="0.3">
      <c r="A336" s="7" t="s">
        <v>354</v>
      </c>
      <c r="B336" s="13">
        <v>43467.096099537041</v>
      </c>
      <c r="C336" s="13">
        <v>43473.096096096087</v>
      </c>
      <c r="D336" s="8" t="s">
        <v>1022</v>
      </c>
      <c r="E336" s="8" t="s">
        <v>1350</v>
      </c>
      <c r="F336" s="8" t="s">
        <v>2212</v>
      </c>
      <c r="G336" s="8" t="s">
        <v>2407</v>
      </c>
      <c r="H336" s="8" t="s">
        <v>2409</v>
      </c>
      <c r="I336" s="8" t="s">
        <v>2417</v>
      </c>
      <c r="J336" s="16" t="s">
        <v>3891</v>
      </c>
      <c r="K336" s="16">
        <v>22559</v>
      </c>
      <c r="L336" s="8" t="s">
        <v>2420</v>
      </c>
      <c r="M336" s="8" t="s">
        <v>2752</v>
      </c>
      <c r="N336" s="8" t="s">
        <v>3371</v>
      </c>
      <c r="O336" s="8" t="s">
        <v>3383</v>
      </c>
      <c r="P336" s="8" t="s">
        <v>3431</v>
      </c>
      <c r="Q336" s="8">
        <v>440.68</v>
      </c>
      <c r="R336" s="16">
        <v>2</v>
      </c>
      <c r="S336" s="21">
        <v>0.52</v>
      </c>
      <c r="T336" s="16">
        <v>148.19</v>
      </c>
    </row>
    <row r="337" spans="1:20" x14ac:dyDescent="0.3">
      <c r="A337" s="5" t="s">
        <v>355</v>
      </c>
      <c r="B337" s="12">
        <v>43468.192187499997</v>
      </c>
      <c r="C337" s="12">
        <v>43474.192192192189</v>
      </c>
      <c r="D337" s="6" t="s">
        <v>1020</v>
      </c>
      <c r="E337" s="6" t="s">
        <v>1351</v>
      </c>
      <c r="F337" s="6" t="s">
        <v>2213</v>
      </c>
      <c r="G337" s="6" t="s">
        <v>2406</v>
      </c>
      <c r="H337" s="6" t="s">
        <v>2409</v>
      </c>
      <c r="I337" s="6" t="s">
        <v>2418</v>
      </c>
      <c r="J337" s="15" t="s">
        <v>3895</v>
      </c>
      <c r="K337" s="15">
        <v>12627</v>
      </c>
      <c r="L337" s="6" t="s">
        <v>2419</v>
      </c>
      <c r="M337" s="6" t="s">
        <v>2753</v>
      </c>
      <c r="N337" s="6" t="s">
        <v>3373</v>
      </c>
      <c r="O337" s="6" t="s">
        <v>3379</v>
      </c>
      <c r="P337" s="6" t="s">
        <v>3515</v>
      </c>
      <c r="Q337" s="6">
        <v>1750.71</v>
      </c>
      <c r="R337" s="15">
        <v>9</v>
      </c>
      <c r="S337" s="20">
        <v>0.24</v>
      </c>
      <c r="T337" s="15">
        <v>241.89</v>
      </c>
    </row>
    <row r="338" spans="1:20" x14ac:dyDescent="0.3">
      <c r="A338" s="7" t="s">
        <v>356</v>
      </c>
      <c r="B338" s="13">
        <v>43469.288287037038</v>
      </c>
      <c r="C338" s="13">
        <v>43472.288288288277</v>
      </c>
      <c r="D338" s="8" t="s">
        <v>1021</v>
      </c>
      <c r="E338" s="8" t="s">
        <v>1352</v>
      </c>
      <c r="F338" s="8" t="s">
        <v>2214</v>
      </c>
      <c r="G338" s="8" t="s">
        <v>2408</v>
      </c>
      <c r="H338" s="8" t="s">
        <v>2409</v>
      </c>
      <c r="I338" s="8" t="s">
        <v>2414</v>
      </c>
      <c r="J338" s="16" t="s">
        <v>3892</v>
      </c>
      <c r="K338" s="16">
        <v>88963</v>
      </c>
      <c r="L338" s="8" t="s">
        <v>2422</v>
      </c>
      <c r="M338" s="8" t="s">
        <v>2754</v>
      </c>
      <c r="N338" s="8" t="s">
        <v>3371</v>
      </c>
      <c r="O338" s="8" t="s">
        <v>3374</v>
      </c>
      <c r="P338" s="8" t="s">
        <v>3410</v>
      </c>
      <c r="Q338" s="8">
        <v>1146.71</v>
      </c>
      <c r="R338" s="16">
        <v>11</v>
      </c>
      <c r="S338" s="21">
        <v>0.13</v>
      </c>
      <c r="T338" s="16">
        <v>578.22</v>
      </c>
    </row>
    <row r="339" spans="1:20" x14ac:dyDescent="0.3">
      <c r="A339" s="5" t="s">
        <v>357</v>
      </c>
      <c r="B339" s="12">
        <v>43470.384386574071</v>
      </c>
      <c r="C339" s="12">
        <v>43472.384384384372</v>
      </c>
      <c r="D339" s="6" t="s">
        <v>1023</v>
      </c>
      <c r="E339" s="6" t="s">
        <v>1353</v>
      </c>
      <c r="F339" s="6" t="s">
        <v>2215</v>
      </c>
      <c r="G339" s="6" t="s">
        <v>2406</v>
      </c>
      <c r="H339" s="6" t="s">
        <v>2409</v>
      </c>
      <c r="I339" s="6" t="s">
        <v>2417</v>
      </c>
      <c r="J339" s="15" t="s">
        <v>3892</v>
      </c>
      <c r="K339" s="15">
        <v>82306</v>
      </c>
      <c r="L339" s="6" t="s">
        <v>2421</v>
      </c>
      <c r="M339" s="6" t="s">
        <v>2755</v>
      </c>
      <c r="N339" s="6" t="s">
        <v>3372</v>
      </c>
      <c r="O339" s="6" t="s">
        <v>3376</v>
      </c>
      <c r="P339" s="6" t="s">
        <v>3650</v>
      </c>
      <c r="Q339" s="6">
        <v>4280.87</v>
      </c>
      <c r="R339" s="15">
        <v>4</v>
      </c>
      <c r="S339" s="20">
        <v>0.33</v>
      </c>
      <c r="T339" s="15">
        <v>134.46</v>
      </c>
    </row>
    <row r="340" spans="1:20" x14ac:dyDescent="0.3">
      <c r="A340" s="7" t="s">
        <v>358</v>
      </c>
      <c r="B340" s="13">
        <v>43471.480486111112</v>
      </c>
      <c r="C340" s="13">
        <v>43475.480480480473</v>
      </c>
      <c r="D340" s="8" t="s">
        <v>1021</v>
      </c>
      <c r="E340" s="8" t="s">
        <v>1354</v>
      </c>
      <c r="F340" s="8" t="s">
        <v>2216</v>
      </c>
      <c r="G340" s="8" t="s">
        <v>2406</v>
      </c>
      <c r="H340" s="8" t="s">
        <v>2409</v>
      </c>
      <c r="I340" s="8" t="s">
        <v>2417</v>
      </c>
      <c r="J340" s="16" t="s">
        <v>3894</v>
      </c>
      <c r="K340" s="16">
        <v>44554</v>
      </c>
      <c r="L340" s="8" t="s">
        <v>2421</v>
      </c>
      <c r="M340" s="8" t="s">
        <v>2756</v>
      </c>
      <c r="N340" s="8" t="s">
        <v>3372</v>
      </c>
      <c r="O340" s="8" t="s">
        <v>3377</v>
      </c>
      <c r="P340" s="8" t="s">
        <v>3394</v>
      </c>
      <c r="Q340" s="8">
        <v>2779.78</v>
      </c>
      <c r="R340" s="16">
        <v>5</v>
      </c>
      <c r="S340" s="21">
        <v>0.55000000000000004</v>
      </c>
      <c r="T340" s="16">
        <v>-255.96</v>
      </c>
    </row>
    <row r="341" spans="1:20" x14ac:dyDescent="0.3">
      <c r="A341" s="5" t="s">
        <v>359</v>
      </c>
      <c r="B341" s="12">
        <v>43472.576574074075</v>
      </c>
      <c r="C341" s="12">
        <v>43474.576576576583</v>
      </c>
      <c r="D341" s="6" t="s">
        <v>1023</v>
      </c>
      <c r="E341" s="6" t="s">
        <v>1355</v>
      </c>
      <c r="F341" s="6" t="s">
        <v>2125</v>
      </c>
      <c r="G341" s="6" t="s">
        <v>2408</v>
      </c>
      <c r="H341" s="6" t="s">
        <v>2409</v>
      </c>
      <c r="I341" s="6" t="s">
        <v>2415</v>
      </c>
      <c r="J341" s="15" t="s">
        <v>3896</v>
      </c>
      <c r="K341" s="15">
        <v>85771</v>
      </c>
      <c r="L341" s="6" t="s">
        <v>2420</v>
      </c>
      <c r="M341" s="6" t="s">
        <v>2757</v>
      </c>
      <c r="N341" s="6" t="s">
        <v>3373</v>
      </c>
      <c r="O341" s="6" t="s">
        <v>3385</v>
      </c>
      <c r="P341" s="6" t="s">
        <v>3651</v>
      </c>
      <c r="Q341" s="6">
        <v>1486</v>
      </c>
      <c r="R341" s="15">
        <v>5</v>
      </c>
      <c r="S341" s="20">
        <v>0.06</v>
      </c>
      <c r="T341" s="15">
        <v>-43.76</v>
      </c>
    </row>
    <row r="342" spans="1:20" x14ac:dyDescent="0.3">
      <c r="A342" s="7" t="s">
        <v>360</v>
      </c>
      <c r="B342" s="13">
        <v>43473.672673611109</v>
      </c>
      <c r="C342" s="13">
        <v>43474.672672672663</v>
      </c>
      <c r="D342" s="8" t="s">
        <v>1020</v>
      </c>
      <c r="E342" s="8" t="s">
        <v>1356</v>
      </c>
      <c r="F342" s="8" t="s">
        <v>1984</v>
      </c>
      <c r="G342" s="8" t="s">
        <v>2408</v>
      </c>
      <c r="H342" s="8" t="s">
        <v>2409</v>
      </c>
      <c r="I342" s="8" t="s">
        <v>2413</v>
      </c>
      <c r="J342" s="16" t="s">
        <v>3894</v>
      </c>
      <c r="K342" s="16">
        <v>36232</v>
      </c>
      <c r="L342" s="8" t="s">
        <v>2420</v>
      </c>
      <c r="M342" s="8" t="s">
        <v>2758</v>
      </c>
      <c r="N342" s="8" t="s">
        <v>3373</v>
      </c>
      <c r="O342" s="8" t="s">
        <v>3385</v>
      </c>
      <c r="P342" s="8" t="s">
        <v>3652</v>
      </c>
      <c r="Q342" s="8">
        <v>1461.66</v>
      </c>
      <c r="R342" s="16">
        <v>3</v>
      </c>
      <c r="S342" s="21">
        <v>0.87</v>
      </c>
      <c r="T342" s="16">
        <v>379.93</v>
      </c>
    </row>
    <row r="343" spans="1:20" x14ac:dyDescent="0.3">
      <c r="A343" s="5" t="s">
        <v>361</v>
      </c>
      <c r="B343" s="12">
        <v>43474.768773148149</v>
      </c>
      <c r="C343" s="12">
        <v>43475.768768768758</v>
      </c>
      <c r="D343" s="6" t="s">
        <v>1022</v>
      </c>
      <c r="E343" s="6" t="s">
        <v>1357</v>
      </c>
      <c r="F343" s="6" t="s">
        <v>2146</v>
      </c>
      <c r="G343" s="6" t="s">
        <v>2407</v>
      </c>
      <c r="H343" s="6" t="s">
        <v>2409</v>
      </c>
      <c r="I343" s="6" t="s">
        <v>2412</v>
      </c>
      <c r="J343" s="15" t="s">
        <v>2410</v>
      </c>
      <c r="K343" s="15">
        <v>55487</v>
      </c>
      <c r="L343" s="6" t="s">
        <v>2422</v>
      </c>
      <c r="M343" s="6" t="s">
        <v>2759</v>
      </c>
      <c r="N343" s="6" t="s">
        <v>3372</v>
      </c>
      <c r="O343" s="6" t="s">
        <v>3377</v>
      </c>
      <c r="P343" s="6" t="s">
        <v>3637</v>
      </c>
      <c r="Q343" s="6">
        <v>1329.3</v>
      </c>
      <c r="R343" s="15">
        <v>4</v>
      </c>
      <c r="S343" s="20">
        <v>0.63</v>
      </c>
      <c r="T343" s="15">
        <v>-208.63</v>
      </c>
    </row>
    <row r="344" spans="1:20" x14ac:dyDescent="0.3">
      <c r="A344" s="7" t="s">
        <v>362</v>
      </c>
      <c r="B344" s="13">
        <v>43475.864861111113</v>
      </c>
      <c r="C344" s="13">
        <v>43479.86486486486</v>
      </c>
      <c r="D344" s="8" t="s">
        <v>1020</v>
      </c>
      <c r="E344" s="8" t="s">
        <v>1358</v>
      </c>
      <c r="F344" s="8" t="s">
        <v>2022</v>
      </c>
      <c r="G344" s="8" t="s">
        <v>2407</v>
      </c>
      <c r="H344" s="8" t="s">
        <v>2409</v>
      </c>
      <c r="I344" s="8" t="s">
        <v>2416</v>
      </c>
      <c r="J344" s="16" t="s">
        <v>3894</v>
      </c>
      <c r="K344" s="16">
        <v>34298</v>
      </c>
      <c r="L344" s="8" t="s">
        <v>2420</v>
      </c>
      <c r="M344" s="8" t="s">
        <v>2760</v>
      </c>
      <c r="N344" s="8" t="s">
        <v>3371</v>
      </c>
      <c r="O344" s="8" t="s">
        <v>3375</v>
      </c>
      <c r="P344" s="8" t="s">
        <v>3413</v>
      </c>
      <c r="Q344" s="8">
        <v>4168.46</v>
      </c>
      <c r="R344" s="16">
        <v>9</v>
      </c>
      <c r="S344" s="21">
        <v>0.75</v>
      </c>
      <c r="T344" s="16">
        <v>2400.66</v>
      </c>
    </row>
    <row r="345" spans="1:20" x14ac:dyDescent="0.3">
      <c r="A345" s="5" t="s">
        <v>363</v>
      </c>
      <c r="B345" s="12">
        <v>43476.960960648146</v>
      </c>
      <c r="C345" s="12">
        <v>43482.960960960962</v>
      </c>
      <c r="D345" s="6" t="s">
        <v>1023</v>
      </c>
      <c r="E345" s="6" t="s">
        <v>1359</v>
      </c>
      <c r="F345" s="6" t="s">
        <v>2217</v>
      </c>
      <c r="G345" s="6" t="s">
        <v>2407</v>
      </c>
      <c r="H345" s="6" t="s">
        <v>2409</v>
      </c>
      <c r="I345" s="6" t="s">
        <v>2416</v>
      </c>
      <c r="J345" s="15" t="s">
        <v>2410</v>
      </c>
      <c r="K345" s="15">
        <v>83475</v>
      </c>
      <c r="L345" s="6" t="s">
        <v>2420</v>
      </c>
      <c r="M345" s="6" t="s">
        <v>2761</v>
      </c>
      <c r="N345" s="6" t="s">
        <v>3373</v>
      </c>
      <c r="O345" s="6" t="s">
        <v>3380</v>
      </c>
      <c r="P345" s="6" t="s">
        <v>3576</v>
      </c>
      <c r="Q345" s="6">
        <v>2472.9699999999998</v>
      </c>
      <c r="R345" s="15">
        <v>1</v>
      </c>
      <c r="S345" s="20">
        <v>0.84</v>
      </c>
      <c r="T345" s="15">
        <v>1348.08</v>
      </c>
    </row>
    <row r="346" spans="1:20" x14ac:dyDescent="0.3">
      <c r="A346" s="7" t="s">
        <v>364</v>
      </c>
      <c r="B346" s="13">
        <v>43478.057060185187</v>
      </c>
      <c r="C346" s="13">
        <v>43480.057057057049</v>
      </c>
      <c r="D346" s="8" t="s">
        <v>1021</v>
      </c>
      <c r="E346" s="8" t="s">
        <v>1360</v>
      </c>
      <c r="F346" s="8" t="s">
        <v>2124</v>
      </c>
      <c r="G346" s="8" t="s">
        <v>2407</v>
      </c>
      <c r="H346" s="8" t="s">
        <v>2409</v>
      </c>
      <c r="I346" s="8" t="s">
        <v>2415</v>
      </c>
      <c r="J346" s="16" t="s">
        <v>2410</v>
      </c>
      <c r="K346" s="16">
        <v>63741</v>
      </c>
      <c r="L346" s="8" t="s">
        <v>2421</v>
      </c>
      <c r="M346" s="8" t="s">
        <v>2762</v>
      </c>
      <c r="N346" s="8" t="s">
        <v>3372</v>
      </c>
      <c r="O346" s="8" t="s">
        <v>3378</v>
      </c>
      <c r="P346" s="8" t="s">
        <v>3653</v>
      </c>
      <c r="Q346" s="8">
        <v>4769.5200000000004</v>
      </c>
      <c r="R346" s="16">
        <v>3</v>
      </c>
      <c r="S346" s="21">
        <v>0.17</v>
      </c>
      <c r="T346" s="16">
        <v>2009.78</v>
      </c>
    </row>
    <row r="347" spans="1:20" x14ac:dyDescent="0.3">
      <c r="A347" s="5" t="s">
        <v>365</v>
      </c>
      <c r="B347" s="12">
        <v>43479.153148148151</v>
      </c>
      <c r="C347" s="12">
        <v>43480.153153153151</v>
      </c>
      <c r="D347" s="6" t="s">
        <v>1021</v>
      </c>
      <c r="E347" s="6" t="s">
        <v>1361</v>
      </c>
      <c r="F347" s="6" t="s">
        <v>2122</v>
      </c>
      <c r="G347" s="6" t="s">
        <v>2407</v>
      </c>
      <c r="H347" s="6" t="s">
        <v>2409</v>
      </c>
      <c r="I347" s="6" t="s">
        <v>2417</v>
      </c>
      <c r="J347" s="15" t="s">
        <v>3898</v>
      </c>
      <c r="K347" s="15">
        <v>60613</v>
      </c>
      <c r="L347" s="6" t="s">
        <v>2420</v>
      </c>
      <c r="M347" s="6" t="s">
        <v>2763</v>
      </c>
      <c r="N347" s="6" t="s">
        <v>3371</v>
      </c>
      <c r="O347" s="6" t="s">
        <v>3375</v>
      </c>
      <c r="P347" s="6" t="s">
        <v>3501</v>
      </c>
      <c r="Q347" s="6">
        <v>99.22</v>
      </c>
      <c r="R347" s="15">
        <v>12</v>
      </c>
      <c r="S347" s="20">
        <v>0.2</v>
      </c>
      <c r="T347" s="15">
        <v>7.54</v>
      </c>
    </row>
    <row r="348" spans="1:20" x14ac:dyDescent="0.3">
      <c r="A348" s="7" t="s">
        <v>366</v>
      </c>
      <c r="B348" s="13">
        <v>43480.249247685184</v>
      </c>
      <c r="C348" s="13">
        <v>43485.249249249253</v>
      </c>
      <c r="D348" s="8" t="s">
        <v>1020</v>
      </c>
      <c r="E348" s="8" t="s">
        <v>1362</v>
      </c>
      <c r="F348" s="8" t="s">
        <v>2218</v>
      </c>
      <c r="G348" s="8" t="s">
        <v>2408</v>
      </c>
      <c r="H348" s="8" t="s">
        <v>2409</v>
      </c>
      <c r="I348" s="8" t="s">
        <v>2410</v>
      </c>
      <c r="J348" s="16" t="s">
        <v>3893</v>
      </c>
      <c r="K348" s="16">
        <v>29125</v>
      </c>
      <c r="L348" s="8" t="s">
        <v>2420</v>
      </c>
      <c r="M348" s="8" t="s">
        <v>2764</v>
      </c>
      <c r="N348" s="8" t="s">
        <v>3373</v>
      </c>
      <c r="O348" s="8" t="s">
        <v>3381</v>
      </c>
      <c r="P348" s="8" t="s">
        <v>3510</v>
      </c>
      <c r="Q348" s="8">
        <v>1256.24</v>
      </c>
      <c r="R348" s="16">
        <v>10</v>
      </c>
      <c r="S348" s="21">
        <v>0.61</v>
      </c>
      <c r="T348" s="16">
        <v>-216.46</v>
      </c>
    </row>
    <row r="349" spans="1:20" x14ac:dyDescent="0.3">
      <c r="A349" s="5" t="s">
        <v>367</v>
      </c>
      <c r="B349" s="12">
        <v>43481.345347222225</v>
      </c>
      <c r="C349" s="12">
        <v>43484.345345345333</v>
      </c>
      <c r="D349" s="6" t="s">
        <v>1022</v>
      </c>
      <c r="E349" s="6" t="s">
        <v>1363</v>
      </c>
      <c r="F349" s="6" t="s">
        <v>2219</v>
      </c>
      <c r="G349" s="6" t="s">
        <v>2408</v>
      </c>
      <c r="H349" s="6" t="s">
        <v>2409</v>
      </c>
      <c r="I349" s="6" t="s">
        <v>2413</v>
      </c>
      <c r="J349" s="15" t="s">
        <v>3892</v>
      </c>
      <c r="K349" s="15">
        <v>82515</v>
      </c>
      <c r="L349" s="6" t="s">
        <v>2422</v>
      </c>
      <c r="M349" s="6" t="s">
        <v>2765</v>
      </c>
      <c r="N349" s="6" t="s">
        <v>3371</v>
      </c>
      <c r="O349" s="6" t="s">
        <v>3383</v>
      </c>
      <c r="P349" s="6" t="s">
        <v>3596</v>
      </c>
      <c r="Q349" s="6">
        <v>800.45</v>
      </c>
      <c r="R349" s="15">
        <v>12</v>
      </c>
      <c r="S349" s="20">
        <v>0.49</v>
      </c>
      <c r="T349" s="15">
        <v>100.32</v>
      </c>
    </row>
    <row r="350" spans="1:20" x14ac:dyDescent="0.3">
      <c r="A350" s="7" t="s">
        <v>368</v>
      </c>
      <c r="B350" s="13">
        <v>43482.441446759258</v>
      </c>
      <c r="C350" s="13">
        <v>43488.441441441442</v>
      </c>
      <c r="D350" s="8" t="s">
        <v>1023</v>
      </c>
      <c r="E350" s="8" t="s">
        <v>1364</v>
      </c>
      <c r="F350" s="8" t="s">
        <v>2055</v>
      </c>
      <c r="G350" s="8" t="s">
        <v>2407</v>
      </c>
      <c r="H350" s="8" t="s">
        <v>2409</v>
      </c>
      <c r="I350" s="8" t="s">
        <v>2413</v>
      </c>
      <c r="J350" s="16" t="s">
        <v>3897</v>
      </c>
      <c r="K350" s="16">
        <v>39551</v>
      </c>
      <c r="L350" s="8" t="s">
        <v>2419</v>
      </c>
      <c r="M350" s="8" t="s">
        <v>2766</v>
      </c>
      <c r="N350" s="8" t="s">
        <v>3373</v>
      </c>
      <c r="O350" s="8" t="s">
        <v>3380</v>
      </c>
      <c r="P350" s="8" t="s">
        <v>3654</v>
      </c>
      <c r="Q350" s="8">
        <v>594.78</v>
      </c>
      <c r="R350" s="16">
        <v>3</v>
      </c>
      <c r="S350" s="21">
        <v>0.74</v>
      </c>
      <c r="T350" s="16">
        <v>139.22999999999999</v>
      </c>
    </row>
    <row r="351" spans="1:20" x14ac:dyDescent="0.3">
      <c r="A351" s="5" t="s">
        <v>369</v>
      </c>
      <c r="B351" s="12">
        <v>43483.537534722222</v>
      </c>
      <c r="C351" s="12">
        <v>43484.537537537537</v>
      </c>
      <c r="D351" s="6" t="s">
        <v>1022</v>
      </c>
      <c r="E351" s="6" t="s">
        <v>1365</v>
      </c>
      <c r="F351" s="6" t="s">
        <v>1995</v>
      </c>
      <c r="G351" s="6" t="s">
        <v>2408</v>
      </c>
      <c r="H351" s="6" t="s">
        <v>2409</v>
      </c>
      <c r="I351" s="6" t="s">
        <v>2416</v>
      </c>
      <c r="J351" s="15" t="s">
        <v>3891</v>
      </c>
      <c r="K351" s="15">
        <v>64821</v>
      </c>
      <c r="L351" s="6" t="s">
        <v>2419</v>
      </c>
      <c r="M351" s="6" t="s">
        <v>2767</v>
      </c>
      <c r="N351" s="6" t="s">
        <v>3371</v>
      </c>
      <c r="O351" s="6" t="s">
        <v>3382</v>
      </c>
      <c r="P351" s="6" t="s">
        <v>3655</v>
      </c>
      <c r="Q351" s="6">
        <v>4988.2</v>
      </c>
      <c r="R351" s="15">
        <v>12</v>
      </c>
      <c r="S351" s="20">
        <v>0.84</v>
      </c>
      <c r="T351" s="15">
        <v>-162.85</v>
      </c>
    </row>
    <row r="352" spans="1:20" x14ac:dyDescent="0.3">
      <c r="A352" s="7" t="s">
        <v>370</v>
      </c>
      <c r="B352" s="13">
        <v>43484.633634259262</v>
      </c>
      <c r="C352" s="13">
        <v>43486.633633633617</v>
      </c>
      <c r="D352" s="8" t="s">
        <v>1020</v>
      </c>
      <c r="E352" s="8" t="s">
        <v>1366</v>
      </c>
      <c r="F352" s="8" t="s">
        <v>2220</v>
      </c>
      <c r="G352" s="8" t="s">
        <v>2407</v>
      </c>
      <c r="H352" s="8" t="s">
        <v>2409</v>
      </c>
      <c r="I352" s="8" t="s">
        <v>2414</v>
      </c>
      <c r="J352" s="16" t="s">
        <v>3896</v>
      </c>
      <c r="K352" s="16">
        <v>28984</v>
      </c>
      <c r="L352" s="8" t="s">
        <v>2421</v>
      </c>
      <c r="M352" s="8" t="s">
        <v>2507</v>
      </c>
      <c r="N352" s="8" t="s">
        <v>3373</v>
      </c>
      <c r="O352" s="8" t="s">
        <v>3379</v>
      </c>
      <c r="P352" s="8" t="s">
        <v>3485</v>
      </c>
      <c r="Q352" s="8">
        <v>1873.25</v>
      </c>
      <c r="R352" s="16">
        <v>5</v>
      </c>
      <c r="S352" s="21">
        <v>0.65</v>
      </c>
      <c r="T352" s="16">
        <v>332.87</v>
      </c>
    </row>
    <row r="353" spans="1:20" x14ac:dyDescent="0.3">
      <c r="A353" s="5" t="s">
        <v>371</v>
      </c>
      <c r="B353" s="12">
        <v>43485.729733796295</v>
      </c>
      <c r="C353" s="12">
        <v>43490.729729729719</v>
      </c>
      <c r="D353" s="6" t="s">
        <v>1022</v>
      </c>
      <c r="E353" s="6" t="s">
        <v>1367</v>
      </c>
      <c r="F353" s="6" t="s">
        <v>2025</v>
      </c>
      <c r="G353" s="6" t="s">
        <v>2406</v>
      </c>
      <c r="H353" s="6" t="s">
        <v>2409</v>
      </c>
      <c r="I353" s="6" t="s">
        <v>2418</v>
      </c>
      <c r="J353" s="15" t="s">
        <v>3897</v>
      </c>
      <c r="K353" s="15">
        <v>36386</v>
      </c>
      <c r="L353" s="6" t="s">
        <v>2422</v>
      </c>
      <c r="M353" s="6" t="s">
        <v>2768</v>
      </c>
      <c r="N353" s="6" t="s">
        <v>3373</v>
      </c>
      <c r="O353" s="6" t="s">
        <v>3379</v>
      </c>
      <c r="P353" s="6" t="s">
        <v>3656</v>
      </c>
      <c r="Q353" s="6">
        <v>4364.33</v>
      </c>
      <c r="R353" s="15">
        <v>14</v>
      </c>
      <c r="S353" s="20">
        <v>0.86</v>
      </c>
      <c r="T353" s="15">
        <v>2067.4899999999998</v>
      </c>
    </row>
    <row r="354" spans="1:20" x14ac:dyDescent="0.3">
      <c r="A354" s="7" t="s">
        <v>372</v>
      </c>
      <c r="B354" s="13">
        <v>43486.825821759259</v>
      </c>
      <c r="C354" s="13">
        <v>43488.825825825821</v>
      </c>
      <c r="D354" s="8" t="s">
        <v>1022</v>
      </c>
      <c r="E354" s="8" t="s">
        <v>1368</v>
      </c>
      <c r="F354" s="8" t="s">
        <v>2221</v>
      </c>
      <c r="G354" s="8" t="s">
        <v>2407</v>
      </c>
      <c r="H354" s="8" t="s">
        <v>2409</v>
      </c>
      <c r="I354" s="8" t="s">
        <v>2410</v>
      </c>
      <c r="J354" s="16" t="s">
        <v>3893</v>
      </c>
      <c r="K354" s="16">
        <v>81281</v>
      </c>
      <c r="L354" s="8" t="s">
        <v>2420</v>
      </c>
      <c r="M354" s="8" t="s">
        <v>2769</v>
      </c>
      <c r="N354" s="8" t="s">
        <v>3372</v>
      </c>
      <c r="O354" s="8" t="s">
        <v>3384</v>
      </c>
      <c r="P354" s="8" t="s">
        <v>3657</v>
      </c>
      <c r="Q354" s="8">
        <v>3132.42</v>
      </c>
      <c r="R354" s="16">
        <v>9</v>
      </c>
      <c r="S354" s="21">
        <v>0.43</v>
      </c>
      <c r="T354" s="16">
        <v>1256.96</v>
      </c>
    </row>
    <row r="355" spans="1:20" x14ac:dyDescent="0.3">
      <c r="A355" s="5" t="s">
        <v>373</v>
      </c>
      <c r="B355" s="12">
        <v>43487.9219212963</v>
      </c>
      <c r="C355" s="12">
        <v>43491.921921921923</v>
      </c>
      <c r="D355" s="6" t="s">
        <v>1020</v>
      </c>
      <c r="E355" s="6" t="s">
        <v>1369</v>
      </c>
      <c r="F355" s="6" t="s">
        <v>1976</v>
      </c>
      <c r="G355" s="6" t="s">
        <v>2408</v>
      </c>
      <c r="H355" s="6" t="s">
        <v>2409</v>
      </c>
      <c r="I355" s="6" t="s">
        <v>2410</v>
      </c>
      <c r="J355" s="15" t="s">
        <v>2410</v>
      </c>
      <c r="K355" s="15">
        <v>48924</v>
      </c>
      <c r="L355" s="6" t="s">
        <v>2419</v>
      </c>
      <c r="M355" s="6" t="s">
        <v>2770</v>
      </c>
      <c r="N355" s="6" t="s">
        <v>3371</v>
      </c>
      <c r="O355" s="6" t="s">
        <v>3375</v>
      </c>
      <c r="P355" s="6" t="s">
        <v>3428</v>
      </c>
      <c r="Q355" s="6">
        <v>2127.66</v>
      </c>
      <c r="R355" s="15">
        <v>10</v>
      </c>
      <c r="S355" s="20">
        <v>0.64</v>
      </c>
      <c r="T355" s="15">
        <v>29.38</v>
      </c>
    </row>
    <row r="356" spans="1:20" x14ac:dyDescent="0.3">
      <c r="A356" s="7" t="s">
        <v>374</v>
      </c>
      <c r="B356" s="13">
        <v>43489.018020833333</v>
      </c>
      <c r="C356" s="13">
        <v>43495.01801801801</v>
      </c>
      <c r="D356" s="8" t="s">
        <v>1022</v>
      </c>
      <c r="E356" s="8" t="s">
        <v>1370</v>
      </c>
      <c r="F356" s="8" t="s">
        <v>2222</v>
      </c>
      <c r="G356" s="8" t="s">
        <v>2407</v>
      </c>
      <c r="H356" s="8" t="s">
        <v>2409</v>
      </c>
      <c r="I356" s="8" t="s">
        <v>2415</v>
      </c>
      <c r="J356" s="16" t="s">
        <v>3892</v>
      </c>
      <c r="K356" s="16">
        <v>92629</v>
      </c>
      <c r="L356" s="8" t="s">
        <v>2421</v>
      </c>
      <c r="M356" s="8" t="s">
        <v>2771</v>
      </c>
      <c r="N356" s="8" t="s">
        <v>3372</v>
      </c>
      <c r="O356" s="8" t="s">
        <v>3384</v>
      </c>
      <c r="P356" s="8" t="s">
        <v>3658</v>
      </c>
      <c r="Q356" s="8">
        <v>1338.76</v>
      </c>
      <c r="R356" s="16">
        <v>2</v>
      </c>
      <c r="S356" s="21">
        <v>0.42</v>
      </c>
      <c r="T356" s="16">
        <v>784.57</v>
      </c>
    </row>
    <row r="357" spans="1:20" x14ac:dyDescent="0.3">
      <c r="A357" s="5" t="s">
        <v>375</v>
      </c>
      <c r="B357" s="12">
        <v>43490.114108796297</v>
      </c>
      <c r="C357" s="12">
        <v>43495.114114114112</v>
      </c>
      <c r="D357" s="6" t="s">
        <v>1021</v>
      </c>
      <c r="E357" s="6" t="s">
        <v>1371</v>
      </c>
      <c r="F357" s="6" t="s">
        <v>2205</v>
      </c>
      <c r="G357" s="6" t="s">
        <v>2407</v>
      </c>
      <c r="H357" s="6" t="s">
        <v>2409</v>
      </c>
      <c r="I357" s="6" t="s">
        <v>2414</v>
      </c>
      <c r="J357" s="15" t="s">
        <v>3892</v>
      </c>
      <c r="K357" s="15">
        <v>73718</v>
      </c>
      <c r="L357" s="6" t="s">
        <v>2422</v>
      </c>
      <c r="M357" s="6" t="s">
        <v>2772</v>
      </c>
      <c r="N357" s="6" t="s">
        <v>3372</v>
      </c>
      <c r="O357" s="6" t="s">
        <v>3376</v>
      </c>
      <c r="P357" s="6" t="s">
        <v>3659</v>
      </c>
      <c r="Q357" s="6">
        <v>1233.29</v>
      </c>
      <c r="R357" s="15">
        <v>11</v>
      </c>
      <c r="S357" s="20">
        <v>0.27</v>
      </c>
      <c r="T357" s="15">
        <v>631.53</v>
      </c>
    </row>
    <row r="358" spans="1:20" x14ac:dyDescent="0.3">
      <c r="A358" s="7" t="s">
        <v>376</v>
      </c>
      <c r="B358" s="13">
        <v>43491.21020833333</v>
      </c>
      <c r="C358" s="13">
        <v>43493.210210210207</v>
      </c>
      <c r="D358" s="8" t="s">
        <v>1020</v>
      </c>
      <c r="E358" s="8" t="s">
        <v>1372</v>
      </c>
      <c r="F358" s="8" t="s">
        <v>2081</v>
      </c>
      <c r="G358" s="8" t="s">
        <v>2406</v>
      </c>
      <c r="H358" s="8" t="s">
        <v>2409</v>
      </c>
      <c r="I358" s="8" t="s">
        <v>2415</v>
      </c>
      <c r="J358" s="16" t="s">
        <v>3898</v>
      </c>
      <c r="K358" s="16">
        <v>61079</v>
      </c>
      <c r="L358" s="8" t="s">
        <v>2420</v>
      </c>
      <c r="M358" s="8" t="s">
        <v>2773</v>
      </c>
      <c r="N358" s="8" t="s">
        <v>3372</v>
      </c>
      <c r="O358" s="8" t="s">
        <v>3384</v>
      </c>
      <c r="P358" s="8" t="s">
        <v>3630</v>
      </c>
      <c r="Q358" s="8">
        <v>1577.1</v>
      </c>
      <c r="R358" s="16">
        <v>1</v>
      </c>
      <c r="S358" s="21">
        <v>0.64</v>
      </c>
      <c r="T358" s="16">
        <v>935.57</v>
      </c>
    </row>
    <row r="359" spans="1:20" x14ac:dyDescent="0.3">
      <c r="A359" s="5" t="s">
        <v>377</v>
      </c>
      <c r="B359" s="12">
        <v>43492.306307870371</v>
      </c>
      <c r="C359" s="12">
        <v>43497.306306306287</v>
      </c>
      <c r="D359" s="6" t="s">
        <v>1021</v>
      </c>
      <c r="E359" s="6" t="s">
        <v>1373</v>
      </c>
      <c r="F359" s="6" t="s">
        <v>2164</v>
      </c>
      <c r="G359" s="6" t="s">
        <v>2408</v>
      </c>
      <c r="H359" s="6" t="s">
        <v>2409</v>
      </c>
      <c r="I359" s="6" t="s">
        <v>2410</v>
      </c>
      <c r="J359" s="15" t="s">
        <v>2410</v>
      </c>
      <c r="K359" s="15">
        <v>55419</v>
      </c>
      <c r="L359" s="6" t="s">
        <v>2420</v>
      </c>
      <c r="M359" s="6" t="s">
        <v>2774</v>
      </c>
      <c r="N359" s="6" t="s">
        <v>3372</v>
      </c>
      <c r="O359" s="6" t="s">
        <v>3378</v>
      </c>
      <c r="P359" s="6" t="s">
        <v>3404</v>
      </c>
      <c r="Q359" s="6">
        <v>2355.86</v>
      </c>
      <c r="R359" s="15">
        <v>1</v>
      </c>
      <c r="S359" s="20">
        <v>0.8</v>
      </c>
      <c r="T359" s="15">
        <v>96.19</v>
      </c>
    </row>
    <row r="360" spans="1:20" x14ac:dyDescent="0.3">
      <c r="A360" s="7" t="s">
        <v>378</v>
      </c>
      <c r="B360" s="13">
        <v>43493.402407407404</v>
      </c>
      <c r="C360" s="13">
        <v>43499.402402402397</v>
      </c>
      <c r="D360" s="8" t="s">
        <v>1020</v>
      </c>
      <c r="E360" s="8" t="s">
        <v>1374</v>
      </c>
      <c r="F360" s="8" t="s">
        <v>1969</v>
      </c>
      <c r="G360" s="8" t="s">
        <v>2408</v>
      </c>
      <c r="H360" s="8" t="s">
        <v>2409</v>
      </c>
      <c r="I360" s="8" t="s">
        <v>2411</v>
      </c>
      <c r="J360" s="16" t="s">
        <v>3897</v>
      </c>
      <c r="K360" s="16">
        <v>43655</v>
      </c>
      <c r="L360" s="8" t="s">
        <v>2419</v>
      </c>
      <c r="M360" s="8" t="s">
        <v>2775</v>
      </c>
      <c r="N360" s="8" t="s">
        <v>3372</v>
      </c>
      <c r="O360" s="8" t="s">
        <v>3376</v>
      </c>
      <c r="P360" s="8" t="s">
        <v>3660</v>
      </c>
      <c r="Q360" s="8">
        <v>202.14</v>
      </c>
      <c r="R360" s="16">
        <v>9</v>
      </c>
      <c r="S360" s="21">
        <v>0.08</v>
      </c>
      <c r="T360" s="16">
        <v>90.67</v>
      </c>
    </row>
    <row r="361" spans="1:20" x14ac:dyDescent="0.3">
      <c r="A361" s="5" t="s">
        <v>379</v>
      </c>
      <c r="B361" s="12">
        <v>43494.498495370368</v>
      </c>
      <c r="C361" s="12">
        <v>43500.498498498499</v>
      </c>
      <c r="D361" s="6" t="s">
        <v>1021</v>
      </c>
      <c r="E361" s="6" t="s">
        <v>1375</v>
      </c>
      <c r="F361" s="6" t="s">
        <v>2002</v>
      </c>
      <c r="G361" s="6" t="s">
        <v>2407</v>
      </c>
      <c r="H361" s="6" t="s">
        <v>2409</v>
      </c>
      <c r="I361" s="6" t="s">
        <v>2418</v>
      </c>
      <c r="J361" s="15" t="s">
        <v>2410</v>
      </c>
      <c r="K361" s="15">
        <v>55344</v>
      </c>
      <c r="L361" s="6" t="s">
        <v>2421</v>
      </c>
      <c r="M361" s="6" t="s">
        <v>2776</v>
      </c>
      <c r="N361" s="6" t="s">
        <v>3373</v>
      </c>
      <c r="O361" s="6" t="s">
        <v>3381</v>
      </c>
      <c r="P361" s="6" t="s">
        <v>3566</v>
      </c>
      <c r="Q361" s="6">
        <v>1940.3</v>
      </c>
      <c r="R361" s="15">
        <v>7</v>
      </c>
      <c r="S361" s="20">
        <v>0.53</v>
      </c>
      <c r="T361" s="15">
        <v>-227.8</v>
      </c>
    </row>
    <row r="362" spans="1:20" x14ac:dyDescent="0.3">
      <c r="A362" s="7" t="s">
        <v>380</v>
      </c>
      <c r="B362" s="13">
        <v>43495.594594907408</v>
      </c>
      <c r="C362" s="13">
        <v>43501.594594594593</v>
      </c>
      <c r="D362" s="8" t="s">
        <v>1021</v>
      </c>
      <c r="E362" s="8" t="s">
        <v>1376</v>
      </c>
      <c r="F362" s="8" t="s">
        <v>2223</v>
      </c>
      <c r="G362" s="8" t="s">
        <v>2406</v>
      </c>
      <c r="H362" s="8" t="s">
        <v>2409</v>
      </c>
      <c r="I362" s="8" t="s">
        <v>2415</v>
      </c>
      <c r="J362" s="16" t="s">
        <v>3895</v>
      </c>
      <c r="K362" s="16">
        <v>70018</v>
      </c>
      <c r="L362" s="8" t="s">
        <v>2419</v>
      </c>
      <c r="M362" s="8" t="s">
        <v>2777</v>
      </c>
      <c r="N362" s="8" t="s">
        <v>3372</v>
      </c>
      <c r="O362" s="8" t="s">
        <v>3377</v>
      </c>
      <c r="P362" s="8" t="s">
        <v>3661</v>
      </c>
      <c r="Q362" s="8">
        <v>1974.82</v>
      </c>
      <c r="R362" s="16">
        <v>12</v>
      </c>
      <c r="S362" s="21">
        <v>0.19</v>
      </c>
      <c r="T362" s="16">
        <v>-178.54</v>
      </c>
    </row>
    <row r="363" spans="1:20" x14ac:dyDescent="0.3">
      <c r="A363" s="5" t="s">
        <v>381</v>
      </c>
      <c r="B363" s="12">
        <v>43496.690694444442</v>
      </c>
      <c r="C363" s="12">
        <v>43498.690690690681</v>
      </c>
      <c r="D363" s="6" t="s">
        <v>1023</v>
      </c>
      <c r="E363" s="6" t="s">
        <v>1377</v>
      </c>
      <c r="F363" s="6" t="s">
        <v>2224</v>
      </c>
      <c r="G363" s="6" t="s">
        <v>2406</v>
      </c>
      <c r="H363" s="6" t="s">
        <v>2409</v>
      </c>
      <c r="I363" s="6" t="s">
        <v>2412</v>
      </c>
      <c r="J363" s="15" t="s">
        <v>3897</v>
      </c>
      <c r="K363" s="15">
        <v>18385</v>
      </c>
      <c r="L363" s="6" t="s">
        <v>2422</v>
      </c>
      <c r="M363" s="6" t="s">
        <v>2778</v>
      </c>
      <c r="N363" s="6" t="s">
        <v>3373</v>
      </c>
      <c r="O363" s="6" t="s">
        <v>3379</v>
      </c>
      <c r="P363" s="6" t="s">
        <v>3430</v>
      </c>
      <c r="Q363" s="6">
        <v>4183.33</v>
      </c>
      <c r="R363" s="15">
        <v>5</v>
      </c>
      <c r="S363" s="20">
        <v>0.79</v>
      </c>
      <c r="T363" s="15">
        <v>2379.38</v>
      </c>
    </row>
    <row r="364" spans="1:20" x14ac:dyDescent="0.3">
      <c r="A364" s="7" t="s">
        <v>382</v>
      </c>
      <c r="B364" s="13">
        <v>43497.786782407406</v>
      </c>
      <c r="C364" s="13">
        <v>43502.786786786783</v>
      </c>
      <c r="D364" s="8" t="s">
        <v>1023</v>
      </c>
      <c r="E364" s="8" t="s">
        <v>1378</v>
      </c>
      <c r="F364" s="8" t="s">
        <v>2225</v>
      </c>
      <c r="G364" s="8" t="s">
        <v>2408</v>
      </c>
      <c r="H364" s="8" t="s">
        <v>2409</v>
      </c>
      <c r="I364" s="8" t="s">
        <v>2411</v>
      </c>
      <c r="J364" s="16" t="s">
        <v>3896</v>
      </c>
      <c r="K364" s="16">
        <v>12563</v>
      </c>
      <c r="L364" s="8" t="s">
        <v>2419</v>
      </c>
      <c r="M364" s="8" t="s">
        <v>2779</v>
      </c>
      <c r="N364" s="8" t="s">
        <v>3372</v>
      </c>
      <c r="O364" s="8" t="s">
        <v>3378</v>
      </c>
      <c r="P364" s="8" t="s">
        <v>3662</v>
      </c>
      <c r="Q364" s="8">
        <v>2532.94</v>
      </c>
      <c r="R364" s="16">
        <v>8</v>
      </c>
      <c r="S364" s="21">
        <v>0.33</v>
      </c>
      <c r="T364" s="16">
        <v>1085.1199999999999</v>
      </c>
    </row>
    <row r="365" spans="1:20" x14ac:dyDescent="0.3">
      <c r="A365" s="5" t="s">
        <v>383</v>
      </c>
      <c r="B365" s="12">
        <v>43498.882881944446</v>
      </c>
      <c r="C365" s="12">
        <v>43499.882882882877</v>
      </c>
      <c r="D365" s="6" t="s">
        <v>1022</v>
      </c>
      <c r="E365" s="6" t="s">
        <v>1379</v>
      </c>
      <c r="F365" s="6" t="s">
        <v>2035</v>
      </c>
      <c r="G365" s="6" t="s">
        <v>2408</v>
      </c>
      <c r="H365" s="6" t="s">
        <v>2409</v>
      </c>
      <c r="I365" s="6" t="s">
        <v>2416</v>
      </c>
      <c r="J365" s="15" t="s">
        <v>3896</v>
      </c>
      <c r="K365" s="15">
        <v>96956</v>
      </c>
      <c r="L365" s="6" t="s">
        <v>2421</v>
      </c>
      <c r="M365" s="6" t="s">
        <v>2780</v>
      </c>
      <c r="N365" s="6" t="s">
        <v>3371</v>
      </c>
      <c r="O365" s="6" t="s">
        <v>3383</v>
      </c>
      <c r="P365" s="6" t="s">
        <v>3663</v>
      </c>
      <c r="Q365" s="6">
        <v>130.72</v>
      </c>
      <c r="R365" s="15">
        <v>8</v>
      </c>
      <c r="S365" s="20">
        <v>0.66</v>
      </c>
      <c r="T365" s="15">
        <v>72.36</v>
      </c>
    </row>
    <row r="366" spans="1:20" x14ac:dyDescent="0.3">
      <c r="A366" s="7" t="s">
        <v>384</v>
      </c>
      <c r="B366" s="13">
        <v>43499.978981481479</v>
      </c>
      <c r="C366" s="13">
        <v>43502.978978978972</v>
      </c>
      <c r="D366" s="8" t="s">
        <v>1021</v>
      </c>
      <c r="E366" s="8" t="s">
        <v>1380</v>
      </c>
      <c r="F366" s="8" t="s">
        <v>2226</v>
      </c>
      <c r="G366" s="8" t="s">
        <v>2408</v>
      </c>
      <c r="H366" s="8" t="s">
        <v>2409</v>
      </c>
      <c r="I366" s="8" t="s">
        <v>2411</v>
      </c>
      <c r="J366" s="16" t="s">
        <v>3894</v>
      </c>
      <c r="K366" s="16">
        <v>86077</v>
      </c>
      <c r="L366" s="8" t="s">
        <v>2421</v>
      </c>
      <c r="M366" s="8" t="s">
        <v>2781</v>
      </c>
      <c r="N366" s="8" t="s">
        <v>3371</v>
      </c>
      <c r="O366" s="8" t="s">
        <v>3383</v>
      </c>
      <c r="P366" s="8" t="s">
        <v>3664</v>
      </c>
      <c r="Q366" s="8">
        <v>96.17</v>
      </c>
      <c r="R366" s="16">
        <v>11</v>
      </c>
      <c r="S366" s="21">
        <v>0.56000000000000005</v>
      </c>
      <c r="T366" s="16">
        <v>51.02</v>
      </c>
    </row>
    <row r="367" spans="1:20" x14ac:dyDescent="0.3">
      <c r="A367" s="5" t="s">
        <v>385</v>
      </c>
      <c r="B367" s="12">
        <v>43501.075069444443</v>
      </c>
      <c r="C367" s="12">
        <v>43506.075075075067</v>
      </c>
      <c r="D367" s="6" t="s">
        <v>1021</v>
      </c>
      <c r="E367" s="6" t="s">
        <v>1381</v>
      </c>
      <c r="F367" s="6" t="s">
        <v>2227</v>
      </c>
      <c r="G367" s="6" t="s">
        <v>2407</v>
      </c>
      <c r="H367" s="6" t="s">
        <v>2409</v>
      </c>
      <c r="I367" s="6" t="s">
        <v>2412</v>
      </c>
      <c r="J367" s="15" t="s">
        <v>3891</v>
      </c>
      <c r="K367" s="15">
        <v>50485</v>
      </c>
      <c r="L367" s="6" t="s">
        <v>2420</v>
      </c>
      <c r="M367" s="6" t="s">
        <v>2782</v>
      </c>
      <c r="N367" s="6" t="s">
        <v>3372</v>
      </c>
      <c r="O367" s="6" t="s">
        <v>3377</v>
      </c>
      <c r="P367" s="6" t="s">
        <v>3665</v>
      </c>
      <c r="Q367" s="6">
        <v>4028.23</v>
      </c>
      <c r="R367" s="15">
        <v>14</v>
      </c>
      <c r="S367" s="20">
        <v>0.22</v>
      </c>
      <c r="T367" s="15">
        <v>-738.35</v>
      </c>
    </row>
    <row r="368" spans="1:20" x14ac:dyDescent="0.3">
      <c r="A368" s="7" t="s">
        <v>386</v>
      </c>
      <c r="B368" s="13">
        <v>43502.171168981484</v>
      </c>
      <c r="C368" s="13">
        <v>43507.171171171169</v>
      </c>
      <c r="D368" s="8" t="s">
        <v>1022</v>
      </c>
      <c r="E368" s="8" t="s">
        <v>1382</v>
      </c>
      <c r="F368" s="8" t="s">
        <v>2228</v>
      </c>
      <c r="G368" s="8" t="s">
        <v>2408</v>
      </c>
      <c r="H368" s="8" t="s">
        <v>2409</v>
      </c>
      <c r="I368" s="8" t="s">
        <v>2411</v>
      </c>
      <c r="J368" s="16" t="s">
        <v>3895</v>
      </c>
      <c r="K368" s="16">
        <v>64575</v>
      </c>
      <c r="L368" s="8" t="s">
        <v>2420</v>
      </c>
      <c r="M368" s="8" t="s">
        <v>2783</v>
      </c>
      <c r="N368" s="8" t="s">
        <v>3372</v>
      </c>
      <c r="O368" s="8" t="s">
        <v>3377</v>
      </c>
      <c r="P368" s="8" t="s">
        <v>3666</v>
      </c>
      <c r="Q368" s="8">
        <v>1519.5</v>
      </c>
      <c r="R368" s="16">
        <v>3</v>
      </c>
      <c r="S368" s="21">
        <v>0.15</v>
      </c>
      <c r="T368" s="16">
        <v>-271.64999999999998</v>
      </c>
    </row>
    <row r="369" spans="1:20" x14ac:dyDescent="0.3">
      <c r="A369" s="5" t="s">
        <v>387</v>
      </c>
      <c r="B369" s="12">
        <v>43503.267268518517</v>
      </c>
      <c r="C369" s="12">
        <v>43507.267267267263</v>
      </c>
      <c r="D369" s="6" t="s">
        <v>1021</v>
      </c>
      <c r="E369" s="6" t="s">
        <v>1383</v>
      </c>
      <c r="F369" s="6" t="s">
        <v>2229</v>
      </c>
      <c r="G369" s="6" t="s">
        <v>2407</v>
      </c>
      <c r="H369" s="6" t="s">
        <v>2409</v>
      </c>
      <c r="I369" s="6" t="s">
        <v>2414</v>
      </c>
      <c r="J369" s="15" t="s">
        <v>3898</v>
      </c>
      <c r="K369" s="15">
        <v>40316</v>
      </c>
      <c r="L369" s="6" t="s">
        <v>2422</v>
      </c>
      <c r="M369" s="6" t="s">
        <v>2784</v>
      </c>
      <c r="N369" s="6" t="s">
        <v>3371</v>
      </c>
      <c r="O369" s="6" t="s">
        <v>3382</v>
      </c>
      <c r="P369" s="6" t="s">
        <v>3667</v>
      </c>
      <c r="Q369" s="6">
        <v>1437.25</v>
      </c>
      <c r="R369" s="15">
        <v>12</v>
      </c>
      <c r="S369" s="20">
        <v>0.53</v>
      </c>
      <c r="T369" s="15">
        <v>601.94000000000005</v>
      </c>
    </row>
    <row r="370" spans="1:20" x14ac:dyDescent="0.3">
      <c r="A370" s="7" t="s">
        <v>388</v>
      </c>
      <c r="B370" s="13">
        <v>43504.363368055558</v>
      </c>
      <c r="C370" s="13">
        <v>43505.363363363358</v>
      </c>
      <c r="D370" s="8" t="s">
        <v>1020</v>
      </c>
      <c r="E370" s="8" t="s">
        <v>1384</v>
      </c>
      <c r="F370" s="8" t="s">
        <v>2124</v>
      </c>
      <c r="G370" s="8" t="s">
        <v>2407</v>
      </c>
      <c r="H370" s="8" t="s">
        <v>2409</v>
      </c>
      <c r="I370" s="8" t="s">
        <v>2410</v>
      </c>
      <c r="J370" s="16" t="s">
        <v>2410</v>
      </c>
      <c r="K370" s="16">
        <v>73907</v>
      </c>
      <c r="L370" s="8" t="s">
        <v>2419</v>
      </c>
      <c r="M370" s="8" t="s">
        <v>2785</v>
      </c>
      <c r="N370" s="8" t="s">
        <v>3373</v>
      </c>
      <c r="O370" s="8" t="s">
        <v>3385</v>
      </c>
      <c r="P370" s="8" t="s">
        <v>3668</v>
      </c>
      <c r="Q370" s="8">
        <v>1318.3</v>
      </c>
      <c r="R370" s="16">
        <v>7</v>
      </c>
      <c r="S370" s="21">
        <v>0.79</v>
      </c>
      <c r="T370" s="16">
        <v>196.47</v>
      </c>
    </row>
    <row r="371" spans="1:20" x14ac:dyDescent="0.3">
      <c r="A371" s="5" t="s">
        <v>389</v>
      </c>
      <c r="B371" s="12">
        <v>43505.459456018521</v>
      </c>
      <c r="C371" s="12">
        <v>43506.459459459453</v>
      </c>
      <c r="D371" s="6" t="s">
        <v>1022</v>
      </c>
      <c r="E371" s="6" t="s">
        <v>1385</v>
      </c>
      <c r="F371" s="6" t="s">
        <v>2132</v>
      </c>
      <c r="G371" s="6" t="s">
        <v>2408</v>
      </c>
      <c r="H371" s="6" t="s">
        <v>2409</v>
      </c>
      <c r="I371" s="6" t="s">
        <v>2418</v>
      </c>
      <c r="J371" s="15" t="s">
        <v>3892</v>
      </c>
      <c r="K371" s="15">
        <v>75471</v>
      </c>
      <c r="L371" s="6" t="s">
        <v>2422</v>
      </c>
      <c r="M371" s="6" t="s">
        <v>2786</v>
      </c>
      <c r="N371" s="6" t="s">
        <v>3373</v>
      </c>
      <c r="O371" s="6" t="s">
        <v>3380</v>
      </c>
      <c r="P371" s="6" t="s">
        <v>3574</v>
      </c>
      <c r="Q371" s="6">
        <v>1274.6300000000001</v>
      </c>
      <c r="R371" s="15">
        <v>5</v>
      </c>
      <c r="S371" s="20">
        <v>0.17</v>
      </c>
      <c r="T371" s="15">
        <v>246.05</v>
      </c>
    </row>
    <row r="372" spans="1:20" x14ac:dyDescent="0.3">
      <c r="A372" s="7" t="s">
        <v>390</v>
      </c>
      <c r="B372" s="13">
        <v>43506.555555555555</v>
      </c>
      <c r="C372" s="13">
        <v>43510.555555555547</v>
      </c>
      <c r="D372" s="8" t="s">
        <v>1022</v>
      </c>
      <c r="E372" s="8" t="s">
        <v>1166</v>
      </c>
      <c r="F372" s="8" t="s">
        <v>2220</v>
      </c>
      <c r="G372" s="8" t="s">
        <v>2408</v>
      </c>
      <c r="H372" s="8" t="s">
        <v>2409</v>
      </c>
      <c r="I372" s="8" t="s">
        <v>2418</v>
      </c>
      <c r="J372" s="16" t="s">
        <v>3892</v>
      </c>
      <c r="K372" s="16">
        <v>80876</v>
      </c>
      <c r="L372" s="8" t="s">
        <v>2420</v>
      </c>
      <c r="M372" s="8" t="s">
        <v>2787</v>
      </c>
      <c r="N372" s="8" t="s">
        <v>3371</v>
      </c>
      <c r="O372" s="8" t="s">
        <v>3383</v>
      </c>
      <c r="P372" s="8" t="s">
        <v>3669</v>
      </c>
      <c r="Q372" s="8">
        <v>3933.04</v>
      </c>
      <c r="R372" s="16">
        <v>5</v>
      </c>
      <c r="S372" s="21">
        <v>0.5</v>
      </c>
      <c r="T372" s="16">
        <v>817.8</v>
      </c>
    </row>
    <row r="373" spans="1:20" x14ac:dyDescent="0.3">
      <c r="A373" s="5" t="s">
        <v>391</v>
      </c>
      <c r="B373" s="12">
        <v>43507.651655092595</v>
      </c>
      <c r="C373" s="12">
        <v>43512.651651651642</v>
      </c>
      <c r="D373" s="6" t="s">
        <v>1023</v>
      </c>
      <c r="E373" s="6" t="s">
        <v>1386</v>
      </c>
      <c r="F373" s="6" t="s">
        <v>2135</v>
      </c>
      <c r="G373" s="6" t="s">
        <v>2406</v>
      </c>
      <c r="H373" s="6" t="s">
        <v>2409</v>
      </c>
      <c r="I373" s="6" t="s">
        <v>2418</v>
      </c>
      <c r="J373" s="15" t="s">
        <v>3894</v>
      </c>
      <c r="K373" s="15">
        <v>49079</v>
      </c>
      <c r="L373" s="6" t="s">
        <v>2422</v>
      </c>
      <c r="M373" s="6" t="s">
        <v>2788</v>
      </c>
      <c r="N373" s="6" t="s">
        <v>3372</v>
      </c>
      <c r="O373" s="6" t="s">
        <v>3376</v>
      </c>
      <c r="P373" s="6" t="s">
        <v>3670</v>
      </c>
      <c r="Q373" s="6">
        <v>503.88</v>
      </c>
      <c r="R373" s="15">
        <v>5</v>
      </c>
      <c r="S373" s="20">
        <v>0.22</v>
      </c>
      <c r="T373" s="15">
        <v>106.07</v>
      </c>
    </row>
    <row r="374" spans="1:20" x14ac:dyDescent="0.3">
      <c r="A374" s="7" t="s">
        <v>392</v>
      </c>
      <c r="B374" s="13">
        <v>43508.747743055559</v>
      </c>
      <c r="C374" s="13">
        <v>43509.747747747737</v>
      </c>
      <c r="D374" s="8" t="s">
        <v>1020</v>
      </c>
      <c r="E374" s="8" t="s">
        <v>1387</v>
      </c>
      <c r="F374" s="8" t="s">
        <v>2230</v>
      </c>
      <c r="G374" s="8" t="s">
        <v>2408</v>
      </c>
      <c r="H374" s="8" t="s">
        <v>2409</v>
      </c>
      <c r="I374" s="8" t="s">
        <v>2417</v>
      </c>
      <c r="J374" s="16" t="s">
        <v>3894</v>
      </c>
      <c r="K374" s="16">
        <v>13189</v>
      </c>
      <c r="L374" s="8" t="s">
        <v>2421</v>
      </c>
      <c r="M374" s="8" t="s">
        <v>2789</v>
      </c>
      <c r="N374" s="8" t="s">
        <v>3372</v>
      </c>
      <c r="O374" s="8" t="s">
        <v>3384</v>
      </c>
      <c r="P374" s="8" t="s">
        <v>3671</v>
      </c>
      <c r="Q374" s="8">
        <v>748.65</v>
      </c>
      <c r="R374" s="16">
        <v>1</v>
      </c>
      <c r="S374" s="21">
        <v>0.06</v>
      </c>
      <c r="T374" s="16">
        <v>-12.69</v>
      </c>
    </row>
    <row r="375" spans="1:20" x14ac:dyDescent="0.3">
      <c r="A375" s="5" t="s">
        <v>393</v>
      </c>
      <c r="B375" s="12">
        <v>43509.843842592592</v>
      </c>
      <c r="C375" s="12">
        <v>43515.843843843853</v>
      </c>
      <c r="D375" s="6" t="s">
        <v>1021</v>
      </c>
      <c r="E375" s="6" t="s">
        <v>1388</v>
      </c>
      <c r="F375" s="6" t="s">
        <v>2231</v>
      </c>
      <c r="G375" s="6" t="s">
        <v>2406</v>
      </c>
      <c r="H375" s="6" t="s">
        <v>2409</v>
      </c>
      <c r="I375" s="6" t="s">
        <v>2416</v>
      </c>
      <c r="J375" s="15" t="s">
        <v>3895</v>
      </c>
      <c r="K375" s="15">
        <v>52916</v>
      </c>
      <c r="L375" s="6" t="s">
        <v>2422</v>
      </c>
      <c r="M375" s="6" t="s">
        <v>2790</v>
      </c>
      <c r="N375" s="6" t="s">
        <v>3371</v>
      </c>
      <c r="O375" s="6" t="s">
        <v>3382</v>
      </c>
      <c r="P375" s="6" t="s">
        <v>3500</v>
      </c>
      <c r="Q375" s="6">
        <v>4190.03</v>
      </c>
      <c r="R375" s="15">
        <v>3</v>
      </c>
      <c r="S375" s="20">
        <v>0.11</v>
      </c>
      <c r="T375" s="15">
        <v>787.08</v>
      </c>
    </row>
    <row r="376" spans="1:20" x14ac:dyDescent="0.3">
      <c r="A376" s="7" t="s">
        <v>394</v>
      </c>
      <c r="B376" s="13">
        <v>43510.939942129633</v>
      </c>
      <c r="C376" s="13">
        <v>43512.939939939934</v>
      </c>
      <c r="D376" s="8" t="s">
        <v>1023</v>
      </c>
      <c r="E376" s="8" t="s">
        <v>1389</v>
      </c>
      <c r="F376" s="8" t="s">
        <v>2232</v>
      </c>
      <c r="G376" s="8" t="s">
        <v>2407</v>
      </c>
      <c r="H376" s="8" t="s">
        <v>2409</v>
      </c>
      <c r="I376" s="8" t="s">
        <v>2414</v>
      </c>
      <c r="J376" s="16" t="s">
        <v>3892</v>
      </c>
      <c r="K376" s="16">
        <v>59032</v>
      </c>
      <c r="L376" s="8" t="s">
        <v>2421</v>
      </c>
      <c r="M376" s="8" t="s">
        <v>2791</v>
      </c>
      <c r="N376" s="8" t="s">
        <v>3372</v>
      </c>
      <c r="O376" s="8" t="s">
        <v>3384</v>
      </c>
      <c r="P376" s="8" t="s">
        <v>3410</v>
      </c>
      <c r="Q376" s="8">
        <v>2737.49</v>
      </c>
      <c r="R376" s="16">
        <v>8</v>
      </c>
      <c r="S376" s="21">
        <v>0.44</v>
      </c>
      <c r="T376" s="16">
        <v>1012.45</v>
      </c>
    </row>
    <row r="377" spans="1:20" x14ac:dyDescent="0.3">
      <c r="A377" s="5" t="s">
        <v>395</v>
      </c>
      <c r="B377" s="12">
        <v>43512.036041666666</v>
      </c>
      <c r="C377" s="12">
        <v>43515.036036036028</v>
      </c>
      <c r="D377" s="6" t="s">
        <v>1023</v>
      </c>
      <c r="E377" s="6" t="s">
        <v>1390</v>
      </c>
      <c r="F377" s="6" t="s">
        <v>2233</v>
      </c>
      <c r="G377" s="6" t="s">
        <v>2406</v>
      </c>
      <c r="H377" s="6" t="s">
        <v>2409</v>
      </c>
      <c r="I377" s="6" t="s">
        <v>2411</v>
      </c>
      <c r="J377" s="15" t="s">
        <v>3896</v>
      </c>
      <c r="K377" s="15">
        <v>34254</v>
      </c>
      <c r="L377" s="6" t="s">
        <v>2419</v>
      </c>
      <c r="M377" s="6" t="s">
        <v>2792</v>
      </c>
      <c r="N377" s="6" t="s">
        <v>3371</v>
      </c>
      <c r="O377" s="6" t="s">
        <v>3375</v>
      </c>
      <c r="P377" s="6" t="s">
        <v>3672</v>
      </c>
      <c r="Q377" s="6">
        <v>689.11</v>
      </c>
      <c r="R377" s="15">
        <v>10</v>
      </c>
      <c r="S377" s="20">
        <v>0.65</v>
      </c>
      <c r="T377" s="15">
        <v>2.63</v>
      </c>
    </row>
    <row r="378" spans="1:20" x14ac:dyDescent="0.3">
      <c r="A378" s="7" t="s">
        <v>396</v>
      </c>
      <c r="B378" s="13">
        <v>43513.13212962963</v>
      </c>
      <c r="C378" s="13">
        <v>43519.13213213213</v>
      </c>
      <c r="D378" s="8" t="s">
        <v>1021</v>
      </c>
      <c r="E378" s="8" t="s">
        <v>1174</v>
      </c>
      <c r="F378" s="8" t="s">
        <v>2234</v>
      </c>
      <c r="G378" s="8" t="s">
        <v>2407</v>
      </c>
      <c r="H378" s="8" t="s">
        <v>2409</v>
      </c>
      <c r="I378" s="8" t="s">
        <v>2416</v>
      </c>
      <c r="J378" s="16" t="s">
        <v>3897</v>
      </c>
      <c r="K378" s="16">
        <v>12407</v>
      </c>
      <c r="L378" s="8" t="s">
        <v>2422</v>
      </c>
      <c r="M378" s="8" t="s">
        <v>2793</v>
      </c>
      <c r="N378" s="8" t="s">
        <v>3371</v>
      </c>
      <c r="O378" s="8" t="s">
        <v>3383</v>
      </c>
      <c r="P378" s="8" t="s">
        <v>3673</v>
      </c>
      <c r="Q378" s="8">
        <v>82.55</v>
      </c>
      <c r="R378" s="16">
        <v>5</v>
      </c>
      <c r="S378" s="21">
        <v>7.0000000000000007E-2</v>
      </c>
      <c r="T378" s="16">
        <v>-3.85</v>
      </c>
    </row>
    <row r="379" spans="1:20" x14ac:dyDescent="0.3">
      <c r="A379" s="5" t="s">
        <v>397</v>
      </c>
      <c r="B379" s="12">
        <v>43514.228229166663</v>
      </c>
      <c r="C379" s="12">
        <v>43515.228228228218</v>
      </c>
      <c r="D379" s="6" t="s">
        <v>1023</v>
      </c>
      <c r="E379" s="6" t="s">
        <v>1391</v>
      </c>
      <c r="F379" s="6" t="s">
        <v>2077</v>
      </c>
      <c r="G379" s="6" t="s">
        <v>2407</v>
      </c>
      <c r="H379" s="6" t="s">
        <v>2409</v>
      </c>
      <c r="I379" s="6" t="s">
        <v>2418</v>
      </c>
      <c r="J379" s="15" t="s">
        <v>3895</v>
      </c>
      <c r="K379" s="15">
        <v>69365</v>
      </c>
      <c r="L379" s="6" t="s">
        <v>2420</v>
      </c>
      <c r="M379" s="6" t="s">
        <v>2794</v>
      </c>
      <c r="N379" s="6" t="s">
        <v>3373</v>
      </c>
      <c r="O379" s="6" t="s">
        <v>3385</v>
      </c>
      <c r="P379" s="6" t="s">
        <v>3657</v>
      </c>
      <c r="Q379" s="6">
        <v>509.23</v>
      </c>
      <c r="R379" s="15">
        <v>13</v>
      </c>
      <c r="S379" s="20">
        <v>0.46</v>
      </c>
      <c r="T379" s="15">
        <v>-8.0399999999999991</v>
      </c>
    </row>
    <row r="380" spans="1:20" x14ac:dyDescent="0.3">
      <c r="A380" s="7" t="s">
        <v>398</v>
      </c>
      <c r="B380" s="13">
        <v>43515.324328703704</v>
      </c>
      <c r="C380" s="13">
        <v>43521.32432432432</v>
      </c>
      <c r="D380" s="8" t="s">
        <v>1020</v>
      </c>
      <c r="E380" s="8" t="s">
        <v>1392</v>
      </c>
      <c r="F380" s="8" t="s">
        <v>2203</v>
      </c>
      <c r="G380" s="8" t="s">
        <v>2408</v>
      </c>
      <c r="H380" s="8" t="s">
        <v>2409</v>
      </c>
      <c r="I380" s="8" t="s">
        <v>2410</v>
      </c>
      <c r="J380" s="16" t="s">
        <v>3891</v>
      </c>
      <c r="K380" s="16">
        <v>77061</v>
      </c>
      <c r="L380" s="8" t="s">
        <v>2422</v>
      </c>
      <c r="M380" s="8" t="s">
        <v>2795</v>
      </c>
      <c r="N380" s="8" t="s">
        <v>3371</v>
      </c>
      <c r="O380" s="8" t="s">
        <v>3374</v>
      </c>
      <c r="P380" s="8" t="s">
        <v>3572</v>
      </c>
      <c r="Q380" s="8">
        <v>2477.04</v>
      </c>
      <c r="R380" s="16">
        <v>6</v>
      </c>
      <c r="S380" s="21">
        <v>0.73</v>
      </c>
      <c r="T380" s="16">
        <v>1438.08</v>
      </c>
    </row>
    <row r="381" spans="1:20" x14ac:dyDescent="0.3">
      <c r="A381" s="5" t="s">
        <v>399</v>
      </c>
      <c r="B381" s="12">
        <v>43516.420416666668</v>
      </c>
      <c r="C381" s="12">
        <v>43521.420420420407</v>
      </c>
      <c r="D381" s="6" t="s">
        <v>1020</v>
      </c>
      <c r="E381" s="6" t="s">
        <v>1393</v>
      </c>
      <c r="F381" s="6" t="s">
        <v>2173</v>
      </c>
      <c r="G381" s="6" t="s">
        <v>2407</v>
      </c>
      <c r="H381" s="6" t="s">
        <v>2409</v>
      </c>
      <c r="I381" s="6" t="s">
        <v>2411</v>
      </c>
      <c r="J381" s="15" t="s">
        <v>3895</v>
      </c>
      <c r="K381" s="15">
        <v>59391</v>
      </c>
      <c r="L381" s="6" t="s">
        <v>2419</v>
      </c>
      <c r="M381" s="6" t="s">
        <v>2712</v>
      </c>
      <c r="N381" s="6" t="s">
        <v>3371</v>
      </c>
      <c r="O381" s="6" t="s">
        <v>3382</v>
      </c>
      <c r="P381" s="6" t="s">
        <v>3522</v>
      </c>
      <c r="Q381" s="6">
        <v>4310.8100000000004</v>
      </c>
      <c r="R381" s="15">
        <v>8</v>
      </c>
      <c r="S381" s="20">
        <v>0.47</v>
      </c>
      <c r="T381" s="15">
        <v>210.67</v>
      </c>
    </row>
    <row r="382" spans="1:20" x14ac:dyDescent="0.3">
      <c r="A382" s="7" t="s">
        <v>400</v>
      </c>
      <c r="B382" s="13">
        <v>43517.516516203701</v>
      </c>
      <c r="C382" s="13">
        <v>43518.516516516524</v>
      </c>
      <c r="D382" s="8" t="s">
        <v>1022</v>
      </c>
      <c r="E382" s="8" t="s">
        <v>1394</v>
      </c>
      <c r="F382" s="8" t="s">
        <v>2235</v>
      </c>
      <c r="G382" s="8" t="s">
        <v>2407</v>
      </c>
      <c r="H382" s="8" t="s">
        <v>2409</v>
      </c>
      <c r="I382" s="8" t="s">
        <v>2415</v>
      </c>
      <c r="J382" s="16" t="s">
        <v>3898</v>
      </c>
      <c r="K382" s="16">
        <v>58729</v>
      </c>
      <c r="L382" s="8" t="s">
        <v>2420</v>
      </c>
      <c r="M382" s="8" t="s">
        <v>2796</v>
      </c>
      <c r="N382" s="8" t="s">
        <v>3373</v>
      </c>
      <c r="O382" s="8" t="s">
        <v>3381</v>
      </c>
      <c r="P382" s="8" t="s">
        <v>3674</v>
      </c>
      <c r="Q382" s="8">
        <v>4948.58</v>
      </c>
      <c r="R382" s="16">
        <v>4</v>
      </c>
      <c r="S382" s="21">
        <v>0.24</v>
      </c>
      <c r="T382" s="16">
        <v>-613.96</v>
      </c>
    </row>
    <row r="383" spans="1:20" x14ac:dyDescent="0.3">
      <c r="A383" s="5" t="s">
        <v>401</v>
      </c>
      <c r="B383" s="12">
        <v>43518.612615740742</v>
      </c>
      <c r="C383" s="12">
        <v>43521.612612612596</v>
      </c>
      <c r="D383" s="6" t="s">
        <v>1022</v>
      </c>
      <c r="E383" s="6" t="s">
        <v>1395</v>
      </c>
      <c r="F383" s="6" t="s">
        <v>2035</v>
      </c>
      <c r="G383" s="6" t="s">
        <v>2407</v>
      </c>
      <c r="H383" s="6" t="s">
        <v>2409</v>
      </c>
      <c r="I383" s="6" t="s">
        <v>2415</v>
      </c>
      <c r="J383" s="15" t="s">
        <v>3895</v>
      </c>
      <c r="K383" s="15">
        <v>59332</v>
      </c>
      <c r="L383" s="6" t="s">
        <v>2420</v>
      </c>
      <c r="M383" s="6" t="s">
        <v>2797</v>
      </c>
      <c r="N383" s="6" t="s">
        <v>3371</v>
      </c>
      <c r="O383" s="6" t="s">
        <v>3383</v>
      </c>
      <c r="P383" s="6" t="s">
        <v>3675</v>
      </c>
      <c r="Q383" s="6">
        <v>1076.79</v>
      </c>
      <c r="R383" s="15">
        <v>2</v>
      </c>
      <c r="S383" s="20">
        <v>0.76</v>
      </c>
      <c r="T383" s="15">
        <v>-132.16</v>
      </c>
    </row>
    <row r="384" spans="1:20" x14ac:dyDescent="0.3">
      <c r="A384" s="7" t="s">
        <v>402</v>
      </c>
      <c r="B384" s="13">
        <v>43519.708703703705</v>
      </c>
      <c r="C384" s="13">
        <v>43523.708708708713</v>
      </c>
      <c r="D384" s="8" t="s">
        <v>1021</v>
      </c>
      <c r="E384" s="8" t="s">
        <v>1396</v>
      </c>
      <c r="F384" s="8" t="s">
        <v>2138</v>
      </c>
      <c r="G384" s="8" t="s">
        <v>2406</v>
      </c>
      <c r="H384" s="8" t="s">
        <v>2409</v>
      </c>
      <c r="I384" s="8" t="s">
        <v>2413</v>
      </c>
      <c r="J384" s="16" t="s">
        <v>2410</v>
      </c>
      <c r="K384" s="16">
        <v>83470</v>
      </c>
      <c r="L384" s="8" t="s">
        <v>2421</v>
      </c>
      <c r="M384" s="8" t="s">
        <v>2798</v>
      </c>
      <c r="N384" s="8" t="s">
        <v>3371</v>
      </c>
      <c r="O384" s="8" t="s">
        <v>3374</v>
      </c>
      <c r="P384" s="8" t="s">
        <v>3676</v>
      </c>
      <c r="Q384" s="8">
        <v>3866.86</v>
      </c>
      <c r="R384" s="16">
        <v>12</v>
      </c>
      <c r="S384" s="21">
        <v>0.06</v>
      </c>
      <c r="T384" s="16">
        <v>-575.84</v>
      </c>
    </row>
    <row r="385" spans="1:20" x14ac:dyDescent="0.3">
      <c r="A385" s="5" t="s">
        <v>403</v>
      </c>
      <c r="B385" s="12">
        <v>43520.804803240739</v>
      </c>
      <c r="C385" s="12">
        <v>43524.8048048048</v>
      </c>
      <c r="D385" s="6" t="s">
        <v>1023</v>
      </c>
      <c r="E385" s="6" t="s">
        <v>1397</v>
      </c>
      <c r="F385" s="6" t="s">
        <v>2236</v>
      </c>
      <c r="G385" s="6" t="s">
        <v>2406</v>
      </c>
      <c r="H385" s="6" t="s">
        <v>2409</v>
      </c>
      <c r="I385" s="6" t="s">
        <v>2412</v>
      </c>
      <c r="J385" s="15" t="s">
        <v>3892</v>
      </c>
      <c r="K385" s="15">
        <v>15944</v>
      </c>
      <c r="L385" s="6" t="s">
        <v>2420</v>
      </c>
      <c r="M385" s="6" t="s">
        <v>2799</v>
      </c>
      <c r="N385" s="6" t="s">
        <v>3371</v>
      </c>
      <c r="O385" s="6" t="s">
        <v>3374</v>
      </c>
      <c r="P385" s="6" t="s">
        <v>3677</v>
      </c>
      <c r="Q385" s="6">
        <v>2946.51</v>
      </c>
      <c r="R385" s="15">
        <v>4</v>
      </c>
      <c r="S385" s="20">
        <v>0</v>
      </c>
      <c r="T385" s="15">
        <v>-69.97</v>
      </c>
    </row>
    <row r="386" spans="1:20" x14ac:dyDescent="0.3">
      <c r="A386" s="7" t="s">
        <v>404</v>
      </c>
      <c r="B386" s="13">
        <v>43521.900902777779</v>
      </c>
      <c r="C386" s="13">
        <v>43527.900900900888</v>
      </c>
      <c r="D386" s="8" t="s">
        <v>1023</v>
      </c>
      <c r="E386" s="8" t="s">
        <v>1398</v>
      </c>
      <c r="F386" s="8" t="s">
        <v>1975</v>
      </c>
      <c r="G386" s="8" t="s">
        <v>2408</v>
      </c>
      <c r="H386" s="8" t="s">
        <v>2409</v>
      </c>
      <c r="I386" s="8" t="s">
        <v>2411</v>
      </c>
      <c r="J386" s="16" t="s">
        <v>3897</v>
      </c>
      <c r="K386" s="16">
        <v>46109</v>
      </c>
      <c r="L386" s="8" t="s">
        <v>2421</v>
      </c>
      <c r="M386" s="8" t="s">
        <v>2800</v>
      </c>
      <c r="N386" s="8" t="s">
        <v>3372</v>
      </c>
      <c r="O386" s="8" t="s">
        <v>3384</v>
      </c>
      <c r="P386" s="8" t="s">
        <v>3678</v>
      </c>
      <c r="Q386" s="8">
        <v>1307.4100000000001</v>
      </c>
      <c r="R386" s="16">
        <v>10</v>
      </c>
      <c r="S386" s="21">
        <v>0.6</v>
      </c>
      <c r="T386" s="16">
        <v>523.41</v>
      </c>
    </row>
    <row r="387" spans="1:20" x14ac:dyDescent="0.3">
      <c r="A387" s="5" t="s">
        <v>405</v>
      </c>
      <c r="B387" s="12">
        <v>43522.997002314813</v>
      </c>
      <c r="C387" s="12">
        <v>43527.99699699699</v>
      </c>
      <c r="D387" s="6" t="s">
        <v>1021</v>
      </c>
      <c r="E387" s="6" t="s">
        <v>1399</v>
      </c>
      <c r="F387" s="6" t="s">
        <v>2111</v>
      </c>
      <c r="G387" s="6" t="s">
        <v>2407</v>
      </c>
      <c r="H387" s="6" t="s">
        <v>2409</v>
      </c>
      <c r="I387" s="6" t="s">
        <v>2412</v>
      </c>
      <c r="J387" s="15" t="s">
        <v>2410</v>
      </c>
      <c r="K387" s="15">
        <v>89756</v>
      </c>
      <c r="L387" s="6" t="s">
        <v>2421</v>
      </c>
      <c r="M387" s="6" t="s">
        <v>2801</v>
      </c>
      <c r="N387" s="6" t="s">
        <v>3371</v>
      </c>
      <c r="O387" s="6" t="s">
        <v>3383</v>
      </c>
      <c r="P387" s="6" t="s">
        <v>3679</v>
      </c>
      <c r="Q387" s="6">
        <v>109.5</v>
      </c>
      <c r="R387" s="15">
        <v>6</v>
      </c>
      <c r="S387" s="20">
        <v>0.21</v>
      </c>
      <c r="T387" s="15">
        <v>39.07</v>
      </c>
    </row>
    <row r="388" spans="1:20" x14ac:dyDescent="0.3">
      <c r="A388" s="7" t="s">
        <v>406</v>
      </c>
      <c r="B388" s="13">
        <v>43524.093090277776</v>
      </c>
      <c r="C388" s="13">
        <v>43530.093093093092</v>
      </c>
      <c r="D388" s="8" t="s">
        <v>1023</v>
      </c>
      <c r="E388" s="8" t="s">
        <v>1400</v>
      </c>
      <c r="F388" s="8" t="s">
        <v>2237</v>
      </c>
      <c r="G388" s="8" t="s">
        <v>2406</v>
      </c>
      <c r="H388" s="8" t="s">
        <v>2409</v>
      </c>
      <c r="I388" s="8" t="s">
        <v>2412</v>
      </c>
      <c r="J388" s="16" t="s">
        <v>3898</v>
      </c>
      <c r="K388" s="16">
        <v>14984</v>
      </c>
      <c r="L388" s="8" t="s">
        <v>2422</v>
      </c>
      <c r="M388" s="8" t="s">
        <v>2802</v>
      </c>
      <c r="N388" s="8" t="s">
        <v>3373</v>
      </c>
      <c r="O388" s="8" t="s">
        <v>3381</v>
      </c>
      <c r="P388" s="8" t="s">
        <v>3515</v>
      </c>
      <c r="Q388" s="8">
        <v>1400.53</v>
      </c>
      <c r="R388" s="16">
        <v>9</v>
      </c>
      <c r="S388" s="21">
        <v>0.7</v>
      </c>
      <c r="T388" s="16">
        <v>-198.31</v>
      </c>
    </row>
    <row r="389" spans="1:20" x14ac:dyDescent="0.3">
      <c r="A389" s="5" t="s">
        <v>407</v>
      </c>
      <c r="B389" s="12">
        <v>43525.189189814817</v>
      </c>
      <c r="C389" s="12">
        <v>43530.189189189179</v>
      </c>
      <c r="D389" s="6" t="s">
        <v>1020</v>
      </c>
      <c r="E389" s="6" t="s">
        <v>1401</v>
      </c>
      <c r="F389" s="6" t="s">
        <v>2238</v>
      </c>
      <c r="G389" s="6" t="s">
        <v>2406</v>
      </c>
      <c r="H389" s="6" t="s">
        <v>2409</v>
      </c>
      <c r="I389" s="6" t="s">
        <v>2418</v>
      </c>
      <c r="J389" s="15" t="s">
        <v>3895</v>
      </c>
      <c r="K389" s="15">
        <v>17176</v>
      </c>
      <c r="L389" s="6" t="s">
        <v>2420</v>
      </c>
      <c r="M389" s="6" t="s">
        <v>2803</v>
      </c>
      <c r="N389" s="6" t="s">
        <v>3372</v>
      </c>
      <c r="O389" s="6" t="s">
        <v>3377</v>
      </c>
      <c r="P389" s="6" t="s">
        <v>3478</v>
      </c>
      <c r="Q389" s="6">
        <v>3993.85</v>
      </c>
      <c r="R389" s="15">
        <v>5</v>
      </c>
      <c r="S389" s="20">
        <v>0.44</v>
      </c>
      <c r="T389" s="15">
        <v>1830.87</v>
      </c>
    </row>
    <row r="390" spans="1:20" x14ac:dyDescent="0.3">
      <c r="A390" s="7" t="s">
        <v>408</v>
      </c>
      <c r="B390" s="13">
        <v>43526.28528935185</v>
      </c>
      <c r="C390" s="13">
        <v>43528.285285285281</v>
      </c>
      <c r="D390" s="8" t="s">
        <v>1020</v>
      </c>
      <c r="E390" s="8" t="s">
        <v>1402</v>
      </c>
      <c r="F390" s="8" t="s">
        <v>1988</v>
      </c>
      <c r="G390" s="8" t="s">
        <v>2408</v>
      </c>
      <c r="H390" s="8" t="s">
        <v>2409</v>
      </c>
      <c r="I390" s="8" t="s">
        <v>2418</v>
      </c>
      <c r="J390" s="16" t="s">
        <v>3898</v>
      </c>
      <c r="K390" s="16">
        <v>37878</v>
      </c>
      <c r="L390" s="8" t="s">
        <v>2422</v>
      </c>
      <c r="M390" s="8" t="s">
        <v>2804</v>
      </c>
      <c r="N390" s="8" t="s">
        <v>3371</v>
      </c>
      <c r="O390" s="8" t="s">
        <v>3374</v>
      </c>
      <c r="P390" s="8" t="s">
        <v>3550</v>
      </c>
      <c r="Q390" s="8">
        <v>4344.6000000000004</v>
      </c>
      <c r="R390" s="16">
        <v>14</v>
      </c>
      <c r="S390" s="21">
        <v>0.51</v>
      </c>
      <c r="T390" s="16">
        <v>1193.1400000000001</v>
      </c>
    </row>
    <row r="391" spans="1:20" x14ac:dyDescent="0.3">
      <c r="A391" s="5" t="s">
        <v>409</v>
      </c>
      <c r="B391" s="12">
        <v>43527.381377314814</v>
      </c>
      <c r="C391" s="12">
        <v>43528.381381381383</v>
      </c>
      <c r="D391" s="6" t="s">
        <v>1022</v>
      </c>
      <c r="E391" s="6" t="s">
        <v>1403</v>
      </c>
      <c r="F391" s="6" t="s">
        <v>2082</v>
      </c>
      <c r="G391" s="6" t="s">
        <v>2408</v>
      </c>
      <c r="H391" s="6" t="s">
        <v>2409</v>
      </c>
      <c r="I391" s="6" t="s">
        <v>2413</v>
      </c>
      <c r="J391" s="15" t="s">
        <v>3897</v>
      </c>
      <c r="K391" s="15">
        <v>91645</v>
      </c>
      <c r="L391" s="6" t="s">
        <v>2421</v>
      </c>
      <c r="M391" s="6" t="s">
        <v>2805</v>
      </c>
      <c r="N391" s="6" t="s">
        <v>3371</v>
      </c>
      <c r="O391" s="6" t="s">
        <v>3374</v>
      </c>
      <c r="P391" s="6" t="s">
        <v>3680</v>
      </c>
      <c r="Q391" s="6">
        <v>243.71</v>
      </c>
      <c r="R391" s="15">
        <v>1</v>
      </c>
      <c r="S391" s="20">
        <v>0.2</v>
      </c>
      <c r="T391" s="15">
        <v>80.599999999999994</v>
      </c>
    </row>
    <row r="392" spans="1:20" x14ac:dyDescent="0.3">
      <c r="A392" s="7" t="s">
        <v>410</v>
      </c>
      <c r="B392" s="13">
        <v>43528.477476851855</v>
      </c>
      <c r="C392" s="13">
        <v>43533.477477477478</v>
      </c>
      <c r="D392" s="8" t="s">
        <v>1020</v>
      </c>
      <c r="E392" s="8" t="s">
        <v>1404</v>
      </c>
      <c r="F392" s="8" t="s">
        <v>2191</v>
      </c>
      <c r="G392" s="8" t="s">
        <v>2406</v>
      </c>
      <c r="H392" s="8" t="s">
        <v>2409</v>
      </c>
      <c r="I392" s="8" t="s">
        <v>2413</v>
      </c>
      <c r="J392" s="16" t="s">
        <v>3892</v>
      </c>
      <c r="K392" s="16">
        <v>43853</v>
      </c>
      <c r="L392" s="8" t="s">
        <v>2421</v>
      </c>
      <c r="M392" s="8" t="s">
        <v>2806</v>
      </c>
      <c r="N392" s="8" t="s">
        <v>3372</v>
      </c>
      <c r="O392" s="8" t="s">
        <v>3376</v>
      </c>
      <c r="P392" s="8" t="s">
        <v>3510</v>
      </c>
      <c r="Q392" s="8">
        <v>4452.25</v>
      </c>
      <c r="R392" s="16">
        <v>9</v>
      </c>
      <c r="S392" s="21">
        <v>0.34</v>
      </c>
      <c r="T392" s="16">
        <v>2477.65</v>
      </c>
    </row>
    <row r="393" spans="1:20" x14ac:dyDescent="0.3">
      <c r="A393" s="5" t="s">
        <v>411</v>
      </c>
      <c r="B393" s="12">
        <v>43529.573576388888</v>
      </c>
      <c r="C393" s="12">
        <v>43535.573573573573</v>
      </c>
      <c r="D393" s="6" t="s">
        <v>1021</v>
      </c>
      <c r="E393" s="6" t="s">
        <v>1405</v>
      </c>
      <c r="F393" s="6" t="s">
        <v>2239</v>
      </c>
      <c r="G393" s="6" t="s">
        <v>2407</v>
      </c>
      <c r="H393" s="6" t="s">
        <v>2409</v>
      </c>
      <c r="I393" s="6" t="s">
        <v>2416</v>
      </c>
      <c r="J393" s="15" t="s">
        <v>3897</v>
      </c>
      <c r="K393" s="15">
        <v>50768</v>
      </c>
      <c r="L393" s="6" t="s">
        <v>2422</v>
      </c>
      <c r="M393" s="6" t="s">
        <v>2807</v>
      </c>
      <c r="N393" s="6" t="s">
        <v>3371</v>
      </c>
      <c r="O393" s="6" t="s">
        <v>3382</v>
      </c>
      <c r="P393" s="6" t="s">
        <v>3681</v>
      </c>
      <c r="Q393" s="6">
        <v>385.51</v>
      </c>
      <c r="R393" s="15">
        <v>1</v>
      </c>
      <c r="S393" s="20">
        <v>0.42</v>
      </c>
      <c r="T393" s="15">
        <v>-53.92</v>
      </c>
    </row>
    <row r="394" spans="1:20" x14ac:dyDescent="0.3">
      <c r="A394" s="7" t="s">
        <v>412</v>
      </c>
      <c r="B394" s="13">
        <v>43530.669664351852</v>
      </c>
      <c r="C394" s="13">
        <v>43533.669669669667</v>
      </c>
      <c r="D394" s="8" t="s">
        <v>1021</v>
      </c>
      <c r="E394" s="8" t="s">
        <v>1406</v>
      </c>
      <c r="F394" s="8" t="s">
        <v>2015</v>
      </c>
      <c r="G394" s="8" t="s">
        <v>2407</v>
      </c>
      <c r="H394" s="8" t="s">
        <v>2409</v>
      </c>
      <c r="I394" s="8" t="s">
        <v>2415</v>
      </c>
      <c r="J394" s="16" t="s">
        <v>3896</v>
      </c>
      <c r="K394" s="16">
        <v>25401</v>
      </c>
      <c r="L394" s="8" t="s">
        <v>2421</v>
      </c>
      <c r="M394" s="8" t="s">
        <v>2808</v>
      </c>
      <c r="N394" s="8" t="s">
        <v>3373</v>
      </c>
      <c r="O394" s="8" t="s">
        <v>3381</v>
      </c>
      <c r="P394" s="8" t="s">
        <v>3682</v>
      </c>
      <c r="Q394" s="8">
        <v>4949.87</v>
      </c>
      <c r="R394" s="16">
        <v>5</v>
      </c>
      <c r="S394" s="21">
        <v>0.87</v>
      </c>
      <c r="T394" s="16">
        <v>1067.55</v>
      </c>
    </row>
    <row r="395" spans="1:20" x14ac:dyDescent="0.3">
      <c r="A395" s="5" t="s">
        <v>413</v>
      </c>
      <c r="B395" s="12">
        <v>43531.765763888892</v>
      </c>
      <c r="C395" s="12">
        <v>43537.765765765762</v>
      </c>
      <c r="D395" s="6" t="s">
        <v>1020</v>
      </c>
      <c r="E395" s="6" t="s">
        <v>1407</v>
      </c>
      <c r="F395" s="6" t="s">
        <v>2240</v>
      </c>
      <c r="G395" s="6" t="s">
        <v>2406</v>
      </c>
      <c r="H395" s="6" t="s">
        <v>2409</v>
      </c>
      <c r="I395" s="6" t="s">
        <v>2413</v>
      </c>
      <c r="J395" s="15" t="s">
        <v>3891</v>
      </c>
      <c r="K395" s="15">
        <v>60411</v>
      </c>
      <c r="L395" s="6" t="s">
        <v>2422</v>
      </c>
      <c r="M395" s="6" t="s">
        <v>2809</v>
      </c>
      <c r="N395" s="6" t="s">
        <v>3372</v>
      </c>
      <c r="O395" s="6" t="s">
        <v>3384</v>
      </c>
      <c r="P395" s="6" t="s">
        <v>3484</v>
      </c>
      <c r="Q395" s="6">
        <v>142.79</v>
      </c>
      <c r="R395" s="15">
        <v>4</v>
      </c>
      <c r="S395" s="20">
        <v>0.56999999999999995</v>
      </c>
      <c r="T395" s="15">
        <v>79.08</v>
      </c>
    </row>
    <row r="396" spans="1:20" x14ac:dyDescent="0.3">
      <c r="A396" s="7" t="s">
        <v>414</v>
      </c>
      <c r="B396" s="13">
        <v>43532.861863425926</v>
      </c>
      <c r="C396" s="13">
        <v>43534.861861861849</v>
      </c>
      <c r="D396" s="8" t="s">
        <v>1023</v>
      </c>
      <c r="E396" s="8" t="s">
        <v>1408</v>
      </c>
      <c r="F396" s="8" t="s">
        <v>2241</v>
      </c>
      <c r="G396" s="8" t="s">
        <v>2406</v>
      </c>
      <c r="H396" s="8" t="s">
        <v>2409</v>
      </c>
      <c r="I396" s="8" t="s">
        <v>2415</v>
      </c>
      <c r="J396" s="16" t="s">
        <v>3894</v>
      </c>
      <c r="K396" s="16">
        <v>44532</v>
      </c>
      <c r="L396" s="8" t="s">
        <v>2420</v>
      </c>
      <c r="M396" s="8" t="s">
        <v>2810</v>
      </c>
      <c r="N396" s="8" t="s">
        <v>3371</v>
      </c>
      <c r="O396" s="8" t="s">
        <v>3375</v>
      </c>
      <c r="P396" s="8" t="s">
        <v>3578</v>
      </c>
      <c r="Q396" s="8">
        <v>2705.21</v>
      </c>
      <c r="R396" s="16">
        <v>4</v>
      </c>
      <c r="S396" s="21">
        <v>0.17</v>
      </c>
      <c r="T396" s="16">
        <v>-210.77</v>
      </c>
    </row>
    <row r="397" spans="1:20" x14ac:dyDescent="0.3">
      <c r="A397" s="5" t="s">
        <v>415</v>
      </c>
      <c r="B397" s="12">
        <v>43533.957962962966</v>
      </c>
      <c r="C397" s="12">
        <v>43539.957957957951</v>
      </c>
      <c r="D397" s="6" t="s">
        <v>1022</v>
      </c>
      <c r="E397" s="6" t="s">
        <v>1409</v>
      </c>
      <c r="F397" s="6" t="s">
        <v>2061</v>
      </c>
      <c r="G397" s="6" t="s">
        <v>2407</v>
      </c>
      <c r="H397" s="6" t="s">
        <v>2409</v>
      </c>
      <c r="I397" s="6" t="s">
        <v>2412</v>
      </c>
      <c r="J397" s="15" t="s">
        <v>3897</v>
      </c>
      <c r="K397" s="15">
        <v>64397</v>
      </c>
      <c r="L397" s="6" t="s">
        <v>2422</v>
      </c>
      <c r="M397" s="6" t="s">
        <v>2811</v>
      </c>
      <c r="N397" s="6" t="s">
        <v>3371</v>
      </c>
      <c r="O397" s="6" t="s">
        <v>3382</v>
      </c>
      <c r="P397" s="6" t="s">
        <v>3683</v>
      </c>
      <c r="Q397" s="6">
        <v>2449.92</v>
      </c>
      <c r="R397" s="15">
        <v>13</v>
      </c>
      <c r="S397" s="20">
        <v>0.11</v>
      </c>
      <c r="T397" s="15">
        <v>1334.85</v>
      </c>
    </row>
    <row r="398" spans="1:20" x14ac:dyDescent="0.3">
      <c r="A398" s="7" t="s">
        <v>416</v>
      </c>
      <c r="B398" s="13">
        <v>43535.054050925923</v>
      </c>
      <c r="C398" s="13">
        <v>43541.054054054053</v>
      </c>
      <c r="D398" s="8" t="s">
        <v>1021</v>
      </c>
      <c r="E398" s="8" t="s">
        <v>1410</v>
      </c>
      <c r="F398" s="8" t="s">
        <v>2238</v>
      </c>
      <c r="G398" s="8" t="s">
        <v>2406</v>
      </c>
      <c r="H398" s="8" t="s">
        <v>2409</v>
      </c>
      <c r="I398" s="8" t="s">
        <v>2417</v>
      </c>
      <c r="J398" s="16" t="s">
        <v>3898</v>
      </c>
      <c r="K398" s="16">
        <v>71343</v>
      </c>
      <c r="L398" s="8" t="s">
        <v>2422</v>
      </c>
      <c r="M398" s="8" t="s">
        <v>2812</v>
      </c>
      <c r="N398" s="8" t="s">
        <v>3372</v>
      </c>
      <c r="O398" s="8" t="s">
        <v>3376</v>
      </c>
      <c r="P398" s="8" t="s">
        <v>3465</v>
      </c>
      <c r="Q398" s="8">
        <v>2500.64</v>
      </c>
      <c r="R398" s="16">
        <v>6</v>
      </c>
      <c r="S398" s="21">
        <v>0.86</v>
      </c>
      <c r="T398" s="16">
        <v>1162.28</v>
      </c>
    </row>
    <row r="399" spans="1:20" x14ac:dyDescent="0.3">
      <c r="A399" s="5" t="s">
        <v>417</v>
      </c>
      <c r="B399" s="12">
        <v>43536.150150462963</v>
      </c>
      <c r="C399" s="12">
        <v>43539.150150150141</v>
      </c>
      <c r="D399" s="6" t="s">
        <v>1023</v>
      </c>
      <c r="E399" s="6" t="s">
        <v>1411</v>
      </c>
      <c r="F399" s="6" t="s">
        <v>2242</v>
      </c>
      <c r="G399" s="6" t="s">
        <v>2406</v>
      </c>
      <c r="H399" s="6" t="s">
        <v>2409</v>
      </c>
      <c r="I399" s="6" t="s">
        <v>2413</v>
      </c>
      <c r="J399" s="15" t="s">
        <v>3891</v>
      </c>
      <c r="K399" s="15">
        <v>86231</v>
      </c>
      <c r="L399" s="6" t="s">
        <v>2420</v>
      </c>
      <c r="M399" s="6" t="s">
        <v>2813</v>
      </c>
      <c r="N399" s="6" t="s">
        <v>3373</v>
      </c>
      <c r="O399" s="6" t="s">
        <v>3381</v>
      </c>
      <c r="P399" s="6" t="s">
        <v>3425</v>
      </c>
      <c r="Q399" s="6">
        <v>448.96</v>
      </c>
      <c r="R399" s="15">
        <v>7</v>
      </c>
      <c r="S399" s="20">
        <v>0.44</v>
      </c>
      <c r="T399" s="15">
        <v>-11.98</v>
      </c>
    </row>
    <row r="400" spans="1:20" x14ac:dyDescent="0.3">
      <c r="A400" s="7" t="s">
        <v>418</v>
      </c>
      <c r="B400" s="13">
        <v>43537.246249999997</v>
      </c>
      <c r="C400" s="13">
        <v>43538.246246246243</v>
      </c>
      <c r="D400" s="8" t="s">
        <v>1023</v>
      </c>
      <c r="E400" s="8" t="s">
        <v>1412</v>
      </c>
      <c r="F400" s="8" t="s">
        <v>2243</v>
      </c>
      <c r="G400" s="8" t="s">
        <v>2407</v>
      </c>
      <c r="H400" s="8" t="s">
        <v>2409</v>
      </c>
      <c r="I400" s="8" t="s">
        <v>2414</v>
      </c>
      <c r="J400" s="16" t="s">
        <v>3897</v>
      </c>
      <c r="K400" s="16">
        <v>70398</v>
      </c>
      <c r="L400" s="8" t="s">
        <v>2419</v>
      </c>
      <c r="M400" s="8" t="s">
        <v>2814</v>
      </c>
      <c r="N400" s="8" t="s">
        <v>3371</v>
      </c>
      <c r="O400" s="8" t="s">
        <v>3375</v>
      </c>
      <c r="P400" s="8" t="s">
        <v>3591</v>
      </c>
      <c r="Q400" s="8">
        <v>2213.2600000000002</v>
      </c>
      <c r="R400" s="16">
        <v>5</v>
      </c>
      <c r="S400" s="21">
        <v>0.18</v>
      </c>
      <c r="T400" s="16">
        <v>559.79</v>
      </c>
    </row>
    <row r="401" spans="1:20" x14ac:dyDescent="0.3">
      <c r="A401" s="5" t="s">
        <v>419</v>
      </c>
      <c r="B401" s="12">
        <v>43538.34233796296</v>
      </c>
      <c r="C401" s="12">
        <v>43539.342342342337</v>
      </c>
      <c r="D401" s="6" t="s">
        <v>1021</v>
      </c>
      <c r="E401" s="6" t="s">
        <v>1413</v>
      </c>
      <c r="F401" s="6" t="s">
        <v>2005</v>
      </c>
      <c r="G401" s="6" t="s">
        <v>2408</v>
      </c>
      <c r="H401" s="6" t="s">
        <v>2409</v>
      </c>
      <c r="I401" s="6" t="s">
        <v>2410</v>
      </c>
      <c r="J401" s="15" t="s">
        <v>3895</v>
      </c>
      <c r="K401" s="15">
        <v>43191</v>
      </c>
      <c r="L401" s="6" t="s">
        <v>2422</v>
      </c>
      <c r="M401" s="6" t="s">
        <v>2714</v>
      </c>
      <c r="N401" s="6" t="s">
        <v>3372</v>
      </c>
      <c r="O401" s="6" t="s">
        <v>3377</v>
      </c>
      <c r="P401" s="6" t="s">
        <v>3619</v>
      </c>
      <c r="Q401" s="6">
        <v>876.53</v>
      </c>
      <c r="R401" s="15">
        <v>7</v>
      </c>
      <c r="S401" s="20">
        <v>0.21</v>
      </c>
      <c r="T401" s="15">
        <v>207.43</v>
      </c>
    </row>
    <row r="402" spans="1:20" x14ac:dyDescent="0.3">
      <c r="A402" s="7" t="s">
        <v>420</v>
      </c>
      <c r="B402" s="13">
        <v>43539.438437500001</v>
      </c>
      <c r="C402" s="13">
        <v>43545.438438438439</v>
      </c>
      <c r="D402" s="8" t="s">
        <v>1022</v>
      </c>
      <c r="E402" s="8" t="s">
        <v>1414</v>
      </c>
      <c r="F402" s="8" t="s">
        <v>2244</v>
      </c>
      <c r="G402" s="8" t="s">
        <v>2408</v>
      </c>
      <c r="H402" s="8" t="s">
        <v>2409</v>
      </c>
      <c r="I402" s="8" t="s">
        <v>2412</v>
      </c>
      <c r="J402" s="16" t="s">
        <v>3897</v>
      </c>
      <c r="K402" s="16">
        <v>96817</v>
      </c>
      <c r="L402" s="8" t="s">
        <v>2421</v>
      </c>
      <c r="M402" s="8" t="s">
        <v>2815</v>
      </c>
      <c r="N402" s="8" t="s">
        <v>3372</v>
      </c>
      <c r="O402" s="8" t="s">
        <v>3376</v>
      </c>
      <c r="P402" s="8" t="s">
        <v>3574</v>
      </c>
      <c r="Q402" s="8">
        <v>4243.16</v>
      </c>
      <c r="R402" s="16">
        <v>7</v>
      </c>
      <c r="S402" s="21">
        <v>0.65</v>
      </c>
      <c r="T402" s="16">
        <v>1861.52</v>
      </c>
    </row>
    <row r="403" spans="1:20" x14ac:dyDescent="0.3">
      <c r="A403" s="5" t="s">
        <v>421</v>
      </c>
      <c r="B403" s="12">
        <v>43540.534537037034</v>
      </c>
      <c r="C403" s="12">
        <v>43542.534534534527</v>
      </c>
      <c r="D403" s="6" t="s">
        <v>1023</v>
      </c>
      <c r="E403" s="6" t="s">
        <v>1415</v>
      </c>
      <c r="F403" s="6" t="s">
        <v>2245</v>
      </c>
      <c r="G403" s="6" t="s">
        <v>2408</v>
      </c>
      <c r="H403" s="6" t="s">
        <v>2409</v>
      </c>
      <c r="I403" s="6" t="s">
        <v>2416</v>
      </c>
      <c r="J403" s="15" t="s">
        <v>2410</v>
      </c>
      <c r="K403" s="15">
        <v>84454</v>
      </c>
      <c r="L403" s="6" t="s">
        <v>2421</v>
      </c>
      <c r="M403" s="6" t="s">
        <v>2816</v>
      </c>
      <c r="N403" s="6" t="s">
        <v>3371</v>
      </c>
      <c r="O403" s="6" t="s">
        <v>3383</v>
      </c>
      <c r="P403" s="6" t="s">
        <v>3625</v>
      </c>
      <c r="Q403" s="6">
        <v>809.37</v>
      </c>
      <c r="R403" s="15">
        <v>4</v>
      </c>
      <c r="S403" s="20">
        <v>0.37</v>
      </c>
      <c r="T403" s="15">
        <v>31.57</v>
      </c>
    </row>
    <row r="404" spans="1:20" x14ac:dyDescent="0.3">
      <c r="A404" s="7" t="s">
        <v>422</v>
      </c>
      <c r="B404" s="13">
        <v>43541.630624999998</v>
      </c>
      <c r="C404" s="13">
        <v>43546.630630630621</v>
      </c>
      <c r="D404" s="8" t="s">
        <v>1020</v>
      </c>
      <c r="E404" s="8" t="s">
        <v>1416</v>
      </c>
      <c r="F404" s="8" t="s">
        <v>2095</v>
      </c>
      <c r="G404" s="8" t="s">
        <v>2408</v>
      </c>
      <c r="H404" s="8" t="s">
        <v>2409</v>
      </c>
      <c r="I404" s="8" t="s">
        <v>2418</v>
      </c>
      <c r="J404" s="16" t="s">
        <v>3891</v>
      </c>
      <c r="K404" s="16">
        <v>79052</v>
      </c>
      <c r="L404" s="8" t="s">
        <v>2420</v>
      </c>
      <c r="M404" s="8" t="s">
        <v>2817</v>
      </c>
      <c r="N404" s="8" t="s">
        <v>3372</v>
      </c>
      <c r="O404" s="8" t="s">
        <v>3376</v>
      </c>
      <c r="P404" s="8" t="s">
        <v>3684</v>
      </c>
      <c r="Q404" s="8">
        <v>1271.52</v>
      </c>
      <c r="R404" s="16">
        <v>8</v>
      </c>
      <c r="S404" s="21">
        <v>0.74</v>
      </c>
      <c r="T404" s="16">
        <v>58.6</v>
      </c>
    </row>
    <row r="405" spans="1:20" x14ac:dyDescent="0.3">
      <c r="A405" s="5" t="s">
        <v>423</v>
      </c>
      <c r="B405" s="12">
        <v>43542.726724537039</v>
      </c>
      <c r="C405" s="12">
        <v>43543.726726726723</v>
      </c>
      <c r="D405" s="6" t="s">
        <v>1023</v>
      </c>
      <c r="E405" s="6" t="s">
        <v>1417</v>
      </c>
      <c r="F405" s="6" t="s">
        <v>2246</v>
      </c>
      <c r="G405" s="6" t="s">
        <v>2407</v>
      </c>
      <c r="H405" s="6" t="s">
        <v>2409</v>
      </c>
      <c r="I405" s="6" t="s">
        <v>2417</v>
      </c>
      <c r="J405" s="15" t="s">
        <v>3896</v>
      </c>
      <c r="K405" s="15">
        <v>31192</v>
      </c>
      <c r="L405" s="6" t="s">
        <v>2421</v>
      </c>
      <c r="M405" s="6" t="s">
        <v>2818</v>
      </c>
      <c r="N405" s="6" t="s">
        <v>3371</v>
      </c>
      <c r="O405" s="6" t="s">
        <v>3375</v>
      </c>
      <c r="P405" s="6" t="s">
        <v>3600</v>
      </c>
      <c r="Q405" s="6">
        <v>2363.2199999999998</v>
      </c>
      <c r="R405" s="15">
        <v>2</v>
      </c>
      <c r="S405" s="20">
        <v>0.26</v>
      </c>
      <c r="T405" s="15">
        <v>-249.21</v>
      </c>
    </row>
    <row r="406" spans="1:20" x14ac:dyDescent="0.3">
      <c r="A406" s="7" t="s">
        <v>424</v>
      </c>
      <c r="B406" s="13">
        <v>43543.822824074072</v>
      </c>
      <c r="C406" s="13">
        <v>43544.822822822811</v>
      </c>
      <c r="D406" s="8" t="s">
        <v>1022</v>
      </c>
      <c r="E406" s="8" t="s">
        <v>1418</v>
      </c>
      <c r="F406" s="8" t="s">
        <v>2144</v>
      </c>
      <c r="G406" s="8" t="s">
        <v>2408</v>
      </c>
      <c r="H406" s="8" t="s">
        <v>2409</v>
      </c>
      <c r="I406" s="8" t="s">
        <v>2410</v>
      </c>
      <c r="J406" s="16" t="s">
        <v>3897</v>
      </c>
      <c r="K406" s="16">
        <v>37470</v>
      </c>
      <c r="L406" s="8" t="s">
        <v>2421</v>
      </c>
      <c r="M406" s="8" t="s">
        <v>2819</v>
      </c>
      <c r="N406" s="8" t="s">
        <v>3371</v>
      </c>
      <c r="O406" s="8" t="s">
        <v>3383</v>
      </c>
      <c r="P406" s="8" t="s">
        <v>3685</v>
      </c>
      <c r="Q406" s="8">
        <v>3864.22</v>
      </c>
      <c r="R406" s="16">
        <v>6</v>
      </c>
      <c r="S406" s="21">
        <v>0.64</v>
      </c>
      <c r="T406" s="16">
        <v>1.81</v>
      </c>
    </row>
    <row r="407" spans="1:20" x14ac:dyDescent="0.3">
      <c r="A407" s="5" t="s">
        <v>425</v>
      </c>
      <c r="B407" s="12">
        <v>43544.918923611112</v>
      </c>
      <c r="C407" s="12">
        <v>43547.918918918913</v>
      </c>
      <c r="D407" s="6" t="s">
        <v>1023</v>
      </c>
      <c r="E407" s="6" t="s">
        <v>1419</v>
      </c>
      <c r="F407" s="6" t="s">
        <v>2247</v>
      </c>
      <c r="G407" s="6" t="s">
        <v>2406</v>
      </c>
      <c r="H407" s="6" t="s">
        <v>2409</v>
      </c>
      <c r="I407" s="6" t="s">
        <v>2418</v>
      </c>
      <c r="J407" s="15" t="s">
        <v>2410</v>
      </c>
      <c r="K407" s="15">
        <v>72688</v>
      </c>
      <c r="L407" s="6" t="s">
        <v>2420</v>
      </c>
      <c r="M407" s="6" t="s">
        <v>2820</v>
      </c>
      <c r="N407" s="6" t="s">
        <v>3373</v>
      </c>
      <c r="O407" s="6" t="s">
        <v>3379</v>
      </c>
      <c r="P407" s="6" t="s">
        <v>3667</v>
      </c>
      <c r="Q407" s="6">
        <v>3612.39</v>
      </c>
      <c r="R407" s="15">
        <v>9</v>
      </c>
      <c r="S407" s="20">
        <v>0.9</v>
      </c>
      <c r="T407" s="15">
        <v>217.22</v>
      </c>
    </row>
    <row r="408" spans="1:20" x14ac:dyDescent="0.3">
      <c r="A408" s="7" t="s">
        <v>426</v>
      </c>
      <c r="B408" s="13">
        <v>43546.015011574076</v>
      </c>
      <c r="C408" s="13">
        <v>43551.015015015008</v>
      </c>
      <c r="D408" s="8" t="s">
        <v>1023</v>
      </c>
      <c r="E408" s="8" t="s">
        <v>1420</v>
      </c>
      <c r="F408" s="8" t="s">
        <v>2248</v>
      </c>
      <c r="G408" s="8" t="s">
        <v>2408</v>
      </c>
      <c r="H408" s="8" t="s">
        <v>2409</v>
      </c>
      <c r="I408" s="8" t="s">
        <v>2411</v>
      </c>
      <c r="J408" s="16" t="s">
        <v>3893</v>
      </c>
      <c r="K408" s="16">
        <v>49592</v>
      </c>
      <c r="L408" s="8" t="s">
        <v>2420</v>
      </c>
      <c r="M408" s="8" t="s">
        <v>2821</v>
      </c>
      <c r="N408" s="8" t="s">
        <v>3373</v>
      </c>
      <c r="O408" s="8" t="s">
        <v>3379</v>
      </c>
      <c r="P408" s="8" t="s">
        <v>3503</v>
      </c>
      <c r="Q408" s="8">
        <v>3746.84</v>
      </c>
      <c r="R408" s="16">
        <v>12</v>
      </c>
      <c r="S408" s="21">
        <v>0.64</v>
      </c>
      <c r="T408" s="16">
        <v>658.34</v>
      </c>
    </row>
    <row r="409" spans="1:20" x14ac:dyDescent="0.3">
      <c r="A409" s="5" t="s">
        <v>427</v>
      </c>
      <c r="B409" s="12">
        <v>43547.111111111109</v>
      </c>
      <c r="C409" s="12">
        <v>43552.111111111109</v>
      </c>
      <c r="D409" s="6" t="s">
        <v>1023</v>
      </c>
      <c r="E409" s="6" t="s">
        <v>1421</v>
      </c>
      <c r="F409" s="6" t="s">
        <v>2180</v>
      </c>
      <c r="G409" s="6" t="s">
        <v>2408</v>
      </c>
      <c r="H409" s="6" t="s">
        <v>2409</v>
      </c>
      <c r="I409" s="6" t="s">
        <v>2413</v>
      </c>
      <c r="J409" s="15" t="s">
        <v>3892</v>
      </c>
      <c r="K409" s="15">
        <v>15315</v>
      </c>
      <c r="L409" s="6" t="s">
        <v>2419</v>
      </c>
      <c r="M409" s="6" t="s">
        <v>2822</v>
      </c>
      <c r="N409" s="6" t="s">
        <v>3371</v>
      </c>
      <c r="O409" s="6" t="s">
        <v>3383</v>
      </c>
      <c r="P409" s="6" t="s">
        <v>3686</v>
      </c>
      <c r="Q409" s="6">
        <v>807.8</v>
      </c>
      <c r="R409" s="15">
        <v>3</v>
      </c>
      <c r="S409" s="20">
        <v>0.25</v>
      </c>
      <c r="T409" s="15">
        <v>236.76</v>
      </c>
    </row>
    <row r="410" spans="1:20" x14ac:dyDescent="0.3">
      <c r="A410" s="7" t="s">
        <v>428</v>
      </c>
      <c r="B410" s="13">
        <v>43548.20721064815</v>
      </c>
      <c r="C410" s="13">
        <v>43550.207207207197</v>
      </c>
      <c r="D410" s="8" t="s">
        <v>1023</v>
      </c>
      <c r="E410" s="8" t="s">
        <v>1422</v>
      </c>
      <c r="F410" s="8" t="s">
        <v>2109</v>
      </c>
      <c r="G410" s="8" t="s">
        <v>2406</v>
      </c>
      <c r="H410" s="8" t="s">
        <v>2409</v>
      </c>
      <c r="I410" s="8" t="s">
        <v>2416</v>
      </c>
      <c r="J410" s="16" t="s">
        <v>3896</v>
      </c>
      <c r="K410" s="16">
        <v>51827</v>
      </c>
      <c r="L410" s="8" t="s">
        <v>2419</v>
      </c>
      <c r="M410" s="8" t="s">
        <v>2823</v>
      </c>
      <c r="N410" s="8" t="s">
        <v>3372</v>
      </c>
      <c r="O410" s="8" t="s">
        <v>3376</v>
      </c>
      <c r="P410" s="8" t="s">
        <v>3687</v>
      </c>
      <c r="Q410" s="8">
        <v>568.04</v>
      </c>
      <c r="R410" s="16">
        <v>10</v>
      </c>
      <c r="S410" s="21">
        <v>0.39</v>
      </c>
      <c r="T410" s="16">
        <v>318.75</v>
      </c>
    </row>
    <row r="411" spans="1:20" x14ac:dyDescent="0.3">
      <c r="A411" s="5" t="s">
        <v>429</v>
      </c>
      <c r="B411" s="12">
        <v>43549.303298611114</v>
      </c>
      <c r="C411" s="12">
        <v>43552.303303303299</v>
      </c>
      <c r="D411" s="6" t="s">
        <v>1022</v>
      </c>
      <c r="E411" s="6" t="s">
        <v>1423</v>
      </c>
      <c r="F411" s="6" t="s">
        <v>2249</v>
      </c>
      <c r="G411" s="6" t="s">
        <v>2406</v>
      </c>
      <c r="H411" s="6" t="s">
        <v>2409</v>
      </c>
      <c r="I411" s="6" t="s">
        <v>2418</v>
      </c>
      <c r="J411" s="15" t="s">
        <v>3897</v>
      </c>
      <c r="K411" s="15">
        <v>94489</v>
      </c>
      <c r="L411" s="6" t="s">
        <v>2421</v>
      </c>
      <c r="M411" s="6" t="s">
        <v>2824</v>
      </c>
      <c r="N411" s="6" t="s">
        <v>3372</v>
      </c>
      <c r="O411" s="6" t="s">
        <v>3377</v>
      </c>
      <c r="P411" s="6" t="s">
        <v>3424</v>
      </c>
      <c r="Q411" s="6">
        <v>4320.46</v>
      </c>
      <c r="R411" s="15">
        <v>8</v>
      </c>
      <c r="S411" s="20">
        <v>0.72</v>
      </c>
      <c r="T411" s="15">
        <v>589.99</v>
      </c>
    </row>
    <row r="412" spans="1:20" x14ac:dyDescent="0.3">
      <c r="A412" s="7" t="s">
        <v>430</v>
      </c>
      <c r="B412" s="13">
        <v>43550.399398148147</v>
      </c>
      <c r="C412" s="13">
        <v>43555.399399399401</v>
      </c>
      <c r="D412" s="8" t="s">
        <v>1021</v>
      </c>
      <c r="E412" s="8" t="s">
        <v>1424</v>
      </c>
      <c r="F412" s="8" t="s">
        <v>2145</v>
      </c>
      <c r="G412" s="8" t="s">
        <v>2406</v>
      </c>
      <c r="H412" s="8" t="s">
        <v>2409</v>
      </c>
      <c r="I412" s="8" t="s">
        <v>2415</v>
      </c>
      <c r="J412" s="16" t="s">
        <v>3898</v>
      </c>
      <c r="K412" s="16">
        <v>90983</v>
      </c>
      <c r="L412" s="8" t="s">
        <v>2420</v>
      </c>
      <c r="M412" s="8" t="s">
        <v>2431</v>
      </c>
      <c r="N412" s="8" t="s">
        <v>3372</v>
      </c>
      <c r="O412" s="8" t="s">
        <v>3384</v>
      </c>
      <c r="P412" s="8" t="s">
        <v>3570</v>
      </c>
      <c r="Q412" s="8">
        <v>3105.6</v>
      </c>
      <c r="R412" s="16">
        <v>11</v>
      </c>
      <c r="S412" s="21">
        <v>0.41</v>
      </c>
      <c r="T412" s="16">
        <v>563.28</v>
      </c>
    </row>
    <row r="413" spans="1:20" x14ac:dyDescent="0.3">
      <c r="A413" s="5" t="s">
        <v>431</v>
      </c>
      <c r="B413" s="12">
        <v>43551.495497685188</v>
      </c>
      <c r="C413" s="12">
        <v>43555.495495495488</v>
      </c>
      <c r="D413" s="6" t="s">
        <v>1021</v>
      </c>
      <c r="E413" s="6" t="s">
        <v>1425</v>
      </c>
      <c r="F413" s="6" t="s">
        <v>2250</v>
      </c>
      <c r="G413" s="6" t="s">
        <v>2407</v>
      </c>
      <c r="H413" s="6" t="s">
        <v>2409</v>
      </c>
      <c r="I413" s="6" t="s">
        <v>2417</v>
      </c>
      <c r="J413" s="15" t="s">
        <v>3897</v>
      </c>
      <c r="K413" s="15">
        <v>15285</v>
      </c>
      <c r="L413" s="6" t="s">
        <v>2420</v>
      </c>
      <c r="M413" s="6" t="s">
        <v>2825</v>
      </c>
      <c r="N413" s="6" t="s">
        <v>3371</v>
      </c>
      <c r="O413" s="6" t="s">
        <v>3374</v>
      </c>
      <c r="P413" s="6" t="s">
        <v>3685</v>
      </c>
      <c r="Q413" s="6">
        <v>4345.97</v>
      </c>
      <c r="R413" s="15">
        <v>12</v>
      </c>
      <c r="S413" s="20">
        <v>0.78</v>
      </c>
      <c r="T413" s="15">
        <v>1042.53</v>
      </c>
    </row>
    <row r="414" spans="1:20" x14ac:dyDescent="0.3">
      <c r="A414" s="7" t="s">
        <v>432</v>
      </c>
      <c r="B414" s="13">
        <v>43552.591597222221</v>
      </c>
      <c r="C414" s="13">
        <v>43553.591591591583</v>
      </c>
      <c r="D414" s="8" t="s">
        <v>1021</v>
      </c>
      <c r="E414" s="8" t="s">
        <v>1426</v>
      </c>
      <c r="F414" s="8" t="s">
        <v>2172</v>
      </c>
      <c r="G414" s="8" t="s">
        <v>2406</v>
      </c>
      <c r="H414" s="8" t="s">
        <v>2409</v>
      </c>
      <c r="I414" s="8" t="s">
        <v>2411</v>
      </c>
      <c r="J414" s="16" t="s">
        <v>3894</v>
      </c>
      <c r="K414" s="16">
        <v>30752</v>
      </c>
      <c r="L414" s="8" t="s">
        <v>2422</v>
      </c>
      <c r="M414" s="8" t="s">
        <v>2826</v>
      </c>
      <c r="N414" s="8" t="s">
        <v>3373</v>
      </c>
      <c r="O414" s="8" t="s">
        <v>3385</v>
      </c>
      <c r="P414" s="8" t="s">
        <v>3460</v>
      </c>
      <c r="Q414" s="8">
        <v>2676.6</v>
      </c>
      <c r="R414" s="16">
        <v>13</v>
      </c>
      <c r="S414" s="21">
        <v>0.42</v>
      </c>
      <c r="T414" s="16">
        <v>-368.86</v>
      </c>
    </row>
    <row r="415" spans="1:20" x14ac:dyDescent="0.3">
      <c r="A415" s="5" t="s">
        <v>433</v>
      </c>
      <c r="B415" s="12">
        <v>43553.687685185185</v>
      </c>
      <c r="C415" s="12">
        <v>43555.687687687678</v>
      </c>
      <c r="D415" s="6" t="s">
        <v>1022</v>
      </c>
      <c r="E415" s="6" t="s">
        <v>1427</v>
      </c>
      <c r="F415" s="6" t="s">
        <v>2251</v>
      </c>
      <c r="G415" s="6" t="s">
        <v>2407</v>
      </c>
      <c r="H415" s="6" t="s">
        <v>2409</v>
      </c>
      <c r="I415" s="6" t="s">
        <v>2414</v>
      </c>
      <c r="J415" s="15" t="s">
        <v>3898</v>
      </c>
      <c r="K415" s="15">
        <v>98199</v>
      </c>
      <c r="L415" s="6" t="s">
        <v>2421</v>
      </c>
      <c r="M415" s="6" t="s">
        <v>2827</v>
      </c>
      <c r="N415" s="6" t="s">
        <v>3371</v>
      </c>
      <c r="O415" s="6" t="s">
        <v>3383</v>
      </c>
      <c r="P415" s="6" t="s">
        <v>3688</v>
      </c>
      <c r="Q415" s="6">
        <v>4012.71</v>
      </c>
      <c r="R415" s="15">
        <v>13</v>
      </c>
      <c r="S415" s="20">
        <v>0.59</v>
      </c>
      <c r="T415" s="15">
        <v>2088.88</v>
      </c>
    </row>
    <row r="416" spans="1:20" x14ac:dyDescent="0.3">
      <c r="A416" s="7" t="s">
        <v>434</v>
      </c>
      <c r="B416" s="13">
        <v>43554.783784722225</v>
      </c>
      <c r="C416" s="13">
        <v>43556.783783783772</v>
      </c>
      <c r="D416" s="8" t="s">
        <v>1022</v>
      </c>
      <c r="E416" s="8" t="s">
        <v>1428</v>
      </c>
      <c r="F416" s="8" t="s">
        <v>2138</v>
      </c>
      <c r="G416" s="8" t="s">
        <v>2407</v>
      </c>
      <c r="H416" s="8" t="s">
        <v>2409</v>
      </c>
      <c r="I416" s="8" t="s">
        <v>2415</v>
      </c>
      <c r="J416" s="16" t="s">
        <v>3894</v>
      </c>
      <c r="K416" s="16">
        <v>63866</v>
      </c>
      <c r="L416" s="8" t="s">
        <v>2422</v>
      </c>
      <c r="M416" s="8" t="s">
        <v>2828</v>
      </c>
      <c r="N416" s="8" t="s">
        <v>3373</v>
      </c>
      <c r="O416" s="8" t="s">
        <v>3379</v>
      </c>
      <c r="P416" s="8" t="s">
        <v>3689</v>
      </c>
      <c r="Q416" s="8">
        <v>3556.85</v>
      </c>
      <c r="R416" s="16">
        <v>14</v>
      </c>
      <c r="S416" s="21">
        <v>0.77</v>
      </c>
      <c r="T416" s="16">
        <v>1267.5999999999999</v>
      </c>
    </row>
    <row r="417" spans="1:20" x14ac:dyDescent="0.3">
      <c r="A417" s="5" t="s">
        <v>435</v>
      </c>
      <c r="B417" s="12">
        <v>43555.879884259259</v>
      </c>
      <c r="C417" s="12">
        <v>43560.879879879867</v>
      </c>
      <c r="D417" s="6" t="s">
        <v>1023</v>
      </c>
      <c r="E417" s="6" t="s">
        <v>1429</v>
      </c>
      <c r="F417" s="6" t="s">
        <v>1973</v>
      </c>
      <c r="G417" s="6" t="s">
        <v>2406</v>
      </c>
      <c r="H417" s="6" t="s">
        <v>2409</v>
      </c>
      <c r="I417" s="6" t="s">
        <v>2410</v>
      </c>
      <c r="J417" s="15" t="s">
        <v>2410</v>
      </c>
      <c r="K417" s="15">
        <v>79767</v>
      </c>
      <c r="L417" s="6" t="s">
        <v>2420</v>
      </c>
      <c r="M417" s="6" t="s">
        <v>2829</v>
      </c>
      <c r="N417" s="6" t="s">
        <v>3373</v>
      </c>
      <c r="O417" s="6" t="s">
        <v>3385</v>
      </c>
      <c r="P417" s="6" t="s">
        <v>3530</v>
      </c>
      <c r="Q417" s="6">
        <v>3949.12</v>
      </c>
      <c r="R417" s="15">
        <v>11</v>
      </c>
      <c r="S417" s="20">
        <v>0.49</v>
      </c>
      <c r="T417" s="15">
        <v>-775.42</v>
      </c>
    </row>
    <row r="418" spans="1:20" x14ac:dyDescent="0.3">
      <c r="A418" s="7" t="s">
        <v>436</v>
      </c>
      <c r="B418" s="13">
        <v>43556.975972222222</v>
      </c>
      <c r="C418" s="13">
        <v>43558.975975975969</v>
      </c>
      <c r="D418" s="8" t="s">
        <v>1022</v>
      </c>
      <c r="E418" s="8" t="s">
        <v>1084</v>
      </c>
      <c r="F418" s="8" t="s">
        <v>2007</v>
      </c>
      <c r="G418" s="8" t="s">
        <v>2407</v>
      </c>
      <c r="H418" s="8" t="s">
        <v>2409</v>
      </c>
      <c r="I418" s="8" t="s">
        <v>2412</v>
      </c>
      <c r="J418" s="16" t="s">
        <v>3891</v>
      </c>
      <c r="K418" s="16">
        <v>50925</v>
      </c>
      <c r="L418" s="8" t="s">
        <v>2421</v>
      </c>
      <c r="M418" s="8" t="s">
        <v>2830</v>
      </c>
      <c r="N418" s="8" t="s">
        <v>3371</v>
      </c>
      <c r="O418" s="8" t="s">
        <v>3374</v>
      </c>
      <c r="P418" s="8" t="s">
        <v>3629</v>
      </c>
      <c r="Q418" s="8">
        <v>345.98</v>
      </c>
      <c r="R418" s="16">
        <v>2</v>
      </c>
      <c r="S418" s="21">
        <v>0.18</v>
      </c>
      <c r="T418" s="16">
        <v>81.31</v>
      </c>
    </row>
    <row r="419" spans="1:20" x14ac:dyDescent="0.3">
      <c r="A419" s="5" t="s">
        <v>437</v>
      </c>
      <c r="B419" s="12">
        <v>43558.072071759256</v>
      </c>
      <c r="C419" s="12">
        <v>43563.072072072071</v>
      </c>
      <c r="D419" s="6" t="s">
        <v>1023</v>
      </c>
      <c r="E419" s="6" t="s">
        <v>1430</v>
      </c>
      <c r="F419" s="6" t="s">
        <v>2252</v>
      </c>
      <c r="G419" s="6" t="s">
        <v>2406</v>
      </c>
      <c r="H419" s="6" t="s">
        <v>2409</v>
      </c>
      <c r="I419" s="6" t="s">
        <v>2413</v>
      </c>
      <c r="J419" s="15" t="s">
        <v>3898</v>
      </c>
      <c r="K419" s="15">
        <v>88127</v>
      </c>
      <c r="L419" s="6" t="s">
        <v>2419</v>
      </c>
      <c r="M419" s="6" t="s">
        <v>2831</v>
      </c>
      <c r="N419" s="6" t="s">
        <v>3371</v>
      </c>
      <c r="O419" s="6" t="s">
        <v>3383</v>
      </c>
      <c r="P419" s="6" t="s">
        <v>3486</v>
      </c>
      <c r="Q419" s="6">
        <v>35.01</v>
      </c>
      <c r="R419" s="15">
        <v>3</v>
      </c>
      <c r="S419" s="20">
        <v>0.24</v>
      </c>
      <c r="T419" s="15">
        <v>12.08</v>
      </c>
    </row>
    <row r="420" spans="1:20" x14ac:dyDescent="0.3">
      <c r="A420" s="7" t="s">
        <v>438</v>
      </c>
      <c r="B420" s="13">
        <v>43559.168171296296</v>
      </c>
      <c r="C420" s="13">
        <v>43564.168168168158</v>
      </c>
      <c r="D420" s="8" t="s">
        <v>1021</v>
      </c>
      <c r="E420" s="8" t="s">
        <v>1431</v>
      </c>
      <c r="F420" s="8" t="s">
        <v>2253</v>
      </c>
      <c r="G420" s="8" t="s">
        <v>2406</v>
      </c>
      <c r="H420" s="8" t="s">
        <v>2409</v>
      </c>
      <c r="I420" s="8" t="s">
        <v>2417</v>
      </c>
      <c r="J420" s="16" t="s">
        <v>3892</v>
      </c>
      <c r="K420" s="16">
        <v>71366</v>
      </c>
      <c r="L420" s="8" t="s">
        <v>2421</v>
      </c>
      <c r="M420" s="8" t="s">
        <v>2832</v>
      </c>
      <c r="N420" s="8" t="s">
        <v>3371</v>
      </c>
      <c r="O420" s="8" t="s">
        <v>3374</v>
      </c>
      <c r="P420" s="8" t="s">
        <v>3535</v>
      </c>
      <c r="Q420" s="8">
        <v>1730.57</v>
      </c>
      <c r="R420" s="16">
        <v>11</v>
      </c>
      <c r="S420" s="21">
        <v>0.85</v>
      </c>
      <c r="T420" s="16">
        <v>386.84</v>
      </c>
    </row>
    <row r="421" spans="1:20" x14ac:dyDescent="0.3">
      <c r="A421" s="5" t="s">
        <v>439</v>
      </c>
      <c r="B421" s="12">
        <v>43560.26425925926</v>
      </c>
      <c r="C421" s="12">
        <v>43565.26426426426</v>
      </c>
      <c r="D421" s="6" t="s">
        <v>1023</v>
      </c>
      <c r="E421" s="6" t="s">
        <v>1432</v>
      </c>
      <c r="F421" s="6" t="s">
        <v>2198</v>
      </c>
      <c r="G421" s="6" t="s">
        <v>2406</v>
      </c>
      <c r="H421" s="6" t="s">
        <v>2409</v>
      </c>
      <c r="I421" s="6" t="s">
        <v>2411</v>
      </c>
      <c r="J421" s="15" t="s">
        <v>3893</v>
      </c>
      <c r="K421" s="15">
        <v>51430</v>
      </c>
      <c r="L421" s="6" t="s">
        <v>2419</v>
      </c>
      <c r="M421" s="6" t="s">
        <v>2833</v>
      </c>
      <c r="N421" s="6" t="s">
        <v>3373</v>
      </c>
      <c r="O421" s="6" t="s">
        <v>3385</v>
      </c>
      <c r="P421" s="6" t="s">
        <v>3686</v>
      </c>
      <c r="Q421" s="6">
        <v>869.08</v>
      </c>
      <c r="R421" s="15">
        <v>4</v>
      </c>
      <c r="S421" s="20">
        <v>0.77</v>
      </c>
      <c r="T421" s="15">
        <v>-106.43</v>
      </c>
    </row>
    <row r="422" spans="1:20" x14ac:dyDescent="0.3">
      <c r="A422" s="7" t="s">
        <v>440</v>
      </c>
      <c r="B422" s="13">
        <v>43561.360358796293</v>
      </c>
      <c r="C422" s="13">
        <v>43564.360360360362</v>
      </c>
      <c r="D422" s="8" t="s">
        <v>1022</v>
      </c>
      <c r="E422" s="8" t="s">
        <v>1433</v>
      </c>
      <c r="F422" s="8" t="s">
        <v>2254</v>
      </c>
      <c r="G422" s="8" t="s">
        <v>2407</v>
      </c>
      <c r="H422" s="8" t="s">
        <v>2409</v>
      </c>
      <c r="I422" s="8" t="s">
        <v>2411</v>
      </c>
      <c r="J422" s="16" t="s">
        <v>3897</v>
      </c>
      <c r="K422" s="16">
        <v>33903</v>
      </c>
      <c r="L422" s="8" t="s">
        <v>2419</v>
      </c>
      <c r="M422" s="8" t="s">
        <v>2834</v>
      </c>
      <c r="N422" s="8" t="s">
        <v>3371</v>
      </c>
      <c r="O422" s="8" t="s">
        <v>3374</v>
      </c>
      <c r="P422" s="8" t="s">
        <v>3690</v>
      </c>
      <c r="Q422" s="8">
        <v>930.99</v>
      </c>
      <c r="R422" s="16">
        <v>13</v>
      </c>
      <c r="S422" s="21">
        <v>0.72</v>
      </c>
      <c r="T422" s="16">
        <v>146.02000000000001</v>
      </c>
    </row>
    <row r="423" spans="1:20" x14ac:dyDescent="0.3">
      <c r="A423" s="5" t="s">
        <v>441</v>
      </c>
      <c r="B423" s="12">
        <v>43562.456458333334</v>
      </c>
      <c r="C423" s="12">
        <v>43563.45645645645</v>
      </c>
      <c r="D423" s="6" t="s">
        <v>1022</v>
      </c>
      <c r="E423" s="6" t="s">
        <v>1434</v>
      </c>
      <c r="F423" s="6" t="s">
        <v>2248</v>
      </c>
      <c r="G423" s="6" t="s">
        <v>2408</v>
      </c>
      <c r="H423" s="6" t="s">
        <v>2409</v>
      </c>
      <c r="I423" s="6" t="s">
        <v>2417</v>
      </c>
      <c r="J423" s="15" t="s">
        <v>3894</v>
      </c>
      <c r="K423" s="15">
        <v>45840</v>
      </c>
      <c r="L423" s="6" t="s">
        <v>2422</v>
      </c>
      <c r="M423" s="6" t="s">
        <v>2835</v>
      </c>
      <c r="N423" s="6" t="s">
        <v>3371</v>
      </c>
      <c r="O423" s="6" t="s">
        <v>3382</v>
      </c>
      <c r="P423" s="6" t="s">
        <v>3418</v>
      </c>
      <c r="Q423" s="6">
        <v>642.84</v>
      </c>
      <c r="R423" s="15">
        <v>5</v>
      </c>
      <c r="S423" s="20">
        <v>0.3</v>
      </c>
      <c r="T423" s="15">
        <v>-50.75</v>
      </c>
    </row>
    <row r="424" spans="1:20" x14ac:dyDescent="0.3">
      <c r="A424" s="7" t="s">
        <v>442</v>
      </c>
      <c r="B424" s="13">
        <v>43563.552557870367</v>
      </c>
      <c r="C424" s="13">
        <v>43569.552552552537</v>
      </c>
      <c r="D424" s="8" t="s">
        <v>1023</v>
      </c>
      <c r="E424" s="8" t="s">
        <v>1435</v>
      </c>
      <c r="F424" s="8" t="s">
        <v>2255</v>
      </c>
      <c r="G424" s="8" t="s">
        <v>2408</v>
      </c>
      <c r="H424" s="8" t="s">
        <v>2409</v>
      </c>
      <c r="I424" s="8" t="s">
        <v>2411</v>
      </c>
      <c r="J424" s="16" t="s">
        <v>2410</v>
      </c>
      <c r="K424" s="16">
        <v>63157</v>
      </c>
      <c r="L424" s="8" t="s">
        <v>2422</v>
      </c>
      <c r="M424" s="8" t="s">
        <v>2836</v>
      </c>
      <c r="N424" s="8" t="s">
        <v>3371</v>
      </c>
      <c r="O424" s="8" t="s">
        <v>3383</v>
      </c>
      <c r="P424" s="8" t="s">
        <v>3691</v>
      </c>
      <c r="Q424" s="8">
        <v>2588.64</v>
      </c>
      <c r="R424" s="16">
        <v>9</v>
      </c>
      <c r="S424" s="21">
        <v>0.5</v>
      </c>
      <c r="T424" s="16">
        <v>628.34</v>
      </c>
    </row>
    <row r="425" spans="1:20" x14ac:dyDescent="0.3">
      <c r="A425" s="5" t="s">
        <v>443</v>
      </c>
      <c r="B425" s="12">
        <v>43564.648645833331</v>
      </c>
      <c r="C425" s="12">
        <v>43569.648648648646</v>
      </c>
      <c r="D425" s="6" t="s">
        <v>1023</v>
      </c>
      <c r="E425" s="6" t="s">
        <v>1436</v>
      </c>
      <c r="F425" s="6" t="s">
        <v>2256</v>
      </c>
      <c r="G425" s="6" t="s">
        <v>2406</v>
      </c>
      <c r="H425" s="6" t="s">
        <v>2409</v>
      </c>
      <c r="I425" s="6" t="s">
        <v>2410</v>
      </c>
      <c r="J425" s="15" t="s">
        <v>3893</v>
      </c>
      <c r="K425" s="15">
        <v>25966</v>
      </c>
      <c r="L425" s="6" t="s">
        <v>2422</v>
      </c>
      <c r="M425" s="6" t="s">
        <v>2837</v>
      </c>
      <c r="N425" s="6" t="s">
        <v>3371</v>
      </c>
      <c r="O425" s="6" t="s">
        <v>3383</v>
      </c>
      <c r="P425" s="6" t="s">
        <v>3692</v>
      </c>
      <c r="Q425" s="6">
        <v>279.83</v>
      </c>
      <c r="R425" s="15">
        <v>8</v>
      </c>
      <c r="S425" s="20">
        <v>0.66</v>
      </c>
      <c r="T425" s="15">
        <v>142.69999999999999</v>
      </c>
    </row>
    <row r="426" spans="1:20" x14ac:dyDescent="0.3">
      <c r="A426" s="7" t="s">
        <v>444</v>
      </c>
      <c r="B426" s="13">
        <v>43565.744745370372</v>
      </c>
      <c r="C426" s="13">
        <v>43567.744744744727</v>
      </c>
      <c r="D426" s="8" t="s">
        <v>1021</v>
      </c>
      <c r="E426" s="8" t="s">
        <v>1166</v>
      </c>
      <c r="F426" s="8" t="s">
        <v>2134</v>
      </c>
      <c r="G426" s="8" t="s">
        <v>2407</v>
      </c>
      <c r="H426" s="8" t="s">
        <v>2409</v>
      </c>
      <c r="I426" s="8" t="s">
        <v>2418</v>
      </c>
      <c r="J426" s="16" t="s">
        <v>3893</v>
      </c>
      <c r="K426" s="16">
        <v>12142</v>
      </c>
      <c r="L426" s="8" t="s">
        <v>2421</v>
      </c>
      <c r="M426" s="8" t="s">
        <v>2672</v>
      </c>
      <c r="N426" s="8" t="s">
        <v>3371</v>
      </c>
      <c r="O426" s="8" t="s">
        <v>3374</v>
      </c>
      <c r="P426" s="8" t="s">
        <v>3693</v>
      </c>
      <c r="Q426" s="8">
        <v>76.75</v>
      </c>
      <c r="R426" s="16">
        <v>10</v>
      </c>
      <c r="S426" s="21">
        <v>0.56000000000000005</v>
      </c>
      <c r="T426" s="16">
        <v>18.760000000000002</v>
      </c>
    </row>
    <row r="427" spans="1:20" x14ac:dyDescent="0.3">
      <c r="A427" s="5" t="s">
        <v>445</v>
      </c>
      <c r="B427" s="12">
        <v>43566.840844907405</v>
      </c>
      <c r="C427" s="12">
        <v>43567.840840840843</v>
      </c>
      <c r="D427" s="6" t="s">
        <v>1020</v>
      </c>
      <c r="E427" s="6" t="s">
        <v>1437</v>
      </c>
      <c r="F427" s="6" t="s">
        <v>2230</v>
      </c>
      <c r="G427" s="6" t="s">
        <v>2406</v>
      </c>
      <c r="H427" s="6" t="s">
        <v>2409</v>
      </c>
      <c r="I427" s="6" t="s">
        <v>2410</v>
      </c>
      <c r="J427" s="15" t="s">
        <v>3897</v>
      </c>
      <c r="K427" s="15">
        <v>34714</v>
      </c>
      <c r="L427" s="6" t="s">
        <v>2419</v>
      </c>
      <c r="M427" s="6" t="s">
        <v>2838</v>
      </c>
      <c r="N427" s="6" t="s">
        <v>3372</v>
      </c>
      <c r="O427" s="6" t="s">
        <v>3378</v>
      </c>
      <c r="P427" s="6" t="s">
        <v>3694</v>
      </c>
      <c r="Q427" s="6">
        <v>1882.25</v>
      </c>
      <c r="R427" s="15">
        <v>6</v>
      </c>
      <c r="S427" s="20">
        <v>0.81</v>
      </c>
      <c r="T427" s="15">
        <v>-64.06</v>
      </c>
    </row>
    <row r="428" spans="1:20" x14ac:dyDescent="0.3">
      <c r="A428" s="7" t="s">
        <v>446</v>
      </c>
      <c r="B428" s="13">
        <v>43567.936932870369</v>
      </c>
      <c r="C428" s="13">
        <v>43568.936936936931</v>
      </c>
      <c r="D428" s="8" t="s">
        <v>1021</v>
      </c>
      <c r="E428" s="8" t="s">
        <v>1438</v>
      </c>
      <c r="F428" s="8" t="s">
        <v>1988</v>
      </c>
      <c r="G428" s="8" t="s">
        <v>2408</v>
      </c>
      <c r="H428" s="8" t="s">
        <v>2409</v>
      </c>
      <c r="I428" s="8" t="s">
        <v>2418</v>
      </c>
      <c r="J428" s="16" t="s">
        <v>3898</v>
      </c>
      <c r="K428" s="16">
        <v>70880</v>
      </c>
      <c r="L428" s="8" t="s">
        <v>2421</v>
      </c>
      <c r="M428" s="8" t="s">
        <v>2839</v>
      </c>
      <c r="N428" s="8" t="s">
        <v>3371</v>
      </c>
      <c r="O428" s="8" t="s">
        <v>3375</v>
      </c>
      <c r="P428" s="8" t="s">
        <v>3695</v>
      </c>
      <c r="Q428" s="8">
        <v>855.78</v>
      </c>
      <c r="R428" s="16">
        <v>13</v>
      </c>
      <c r="S428" s="21">
        <v>0.16</v>
      </c>
      <c r="T428" s="16">
        <v>-0.79</v>
      </c>
    </row>
    <row r="429" spans="1:20" x14ac:dyDescent="0.3">
      <c r="A429" s="5" t="s">
        <v>447</v>
      </c>
      <c r="B429" s="12">
        <v>43569.033032407409</v>
      </c>
      <c r="C429" s="12">
        <v>43575.033033033033</v>
      </c>
      <c r="D429" s="6" t="s">
        <v>1022</v>
      </c>
      <c r="E429" s="6" t="s">
        <v>1439</v>
      </c>
      <c r="F429" s="6" t="s">
        <v>2136</v>
      </c>
      <c r="G429" s="6" t="s">
        <v>2407</v>
      </c>
      <c r="H429" s="6" t="s">
        <v>2409</v>
      </c>
      <c r="I429" s="6" t="s">
        <v>2410</v>
      </c>
      <c r="J429" s="15" t="s">
        <v>3895</v>
      </c>
      <c r="K429" s="15">
        <v>88596</v>
      </c>
      <c r="L429" s="6" t="s">
        <v>2422</v>
      </c>
      <c r="M429" s="6" t="s">
        <v>2840</v>
      </c>
      <c r="N429" s="6" t="s">
        <v>3373</v>
      </c>
      <c r="O429" s="6" t="s">
        <v>3379</v>
      </c>
      <c r="P429" s="6" t="s">
        <v>3575</v>
      </c>
      <c r="Q429" s="6">
        <v>2680.46</v>
      </c>
      <c r="R429" s="15">
        <v>11</v>
      </c>
      <c r="S429" s="20">
        <v>0.05</v>
      </c>
      <c r="T429" s="15">
        <v>911.48</v>
      </c>
    </row>
    <row r="430" spans="1:20" x14ac:dyDescent="0.3">
      <c r="A430" s="7" t="s">
        <v>448</v>
      </c>
      <c r="B430" s="13">
        <v>43570.129131944443</v>
      </c>
      <c r="C430" s="13">
        <v>43574.12912912912</v>
      </c>
      <c r="D430" s="8" t="s">
        <v>1021</v>
      </c>
      <c r="E430" s="8" t="s">
        <v>1440</v>
      </c>
      <c r="F430" s="8" t="s">
        <v>2185</v>
      </c>
      <c r="G430" s="8" t="s">
        <v>2408</v>
      </c>
      <c r="H430" s="8" t="s">
        <v>2409</v>
      </c>
      <c r="I430" s="8" t="s">
        <v>2414</v>
      </c>
      <c r="J430" s="16" t="s">
        <v>2410</v>
      </c>
      <c r="K430" s="16">
        <v>25555</v>
      </c>
      <c r="L430" s="8" t="s">
        <v>2420</v>
      </c>
      <c r="M430" s="8" t="s">
        <v>2841</v>
      </c>
      <c r="N430" s="8" t="s">
        <v>3372</v>
      </c>
      <c r="O430" s="8" t="s">
        <v>3377</v>
      </c>
      <c r="P430" s="8" t="s">
        <v>3582</v>
      </c>
      <c r="Q430" s="8">
        <v>4479.7</v>
      </c>
      <c r="R430" s="16">
        <v>8</v>
      </c>
      <c r="S430" s="21">
        <v>0.17</v>
      </c>
      <c r="T430" s="16">
        <v>1502.17</v>
      </c>
    </row>
    <row r="431" spans="1:20" x14ac:dyDescent="0.3">
      <c r="A431" s="5" t="s">
        <v>449</v>
      </c>
      <c r="B431" s="12">
        <v>43571.225219907406</v>
      </c>
      <c r="C431" s="12">
        <v>43577.225225225222</v>
      </c>
      <c r="D431" s="6" t="s">
        <v>1020</v>
      </c>
      <c r="E431" s="6" t="s">
        <v>1391</v>
      </c>
      <c r="F431" s="6" t="s">
        <v>2257</v>
      </c>
      <c r="G431" s="6" t="s">
        <v>2406</v>
      </c>
      <c r="H431" s="6" t="s">
        <v>2409</v>
      </c>
      <c r="I431" s="6" t="s">
        <v>2412</v>
      </c>
      <c r="J431" s="15" t="s">
        <v>3891</v>
      </c>
      <c r="K431" s="15">
        <v>32111</v>
      </c>
      <c r="L431" s="6" t="s">
        <v>2419</v>
      </c>
      <c r="M431" s="6" t="s">
        <v>2842</v>
      </c>
      <c r="N431" s="6" t="s">
        <v>3373</v>
      </c>
      <c r="O431" s="6" t="s">
        <v>3380</v>
      </c>
      <c r="P431" s="6" t="s">
        <v>3599</v>
      </c>
      <c r="Q431" s="6">
        <v>610.84</v>
      </c>
      <c r="R431" s="15">
        <v>6</v>
      </c>
      <c r="S431" s="20">
        <v>0.33</v>
      </c>
      <c r="T431" s="15">
        <v>72.930000000000007</v>
      </c>
    </row>
    <row r="432" spans="1:20" x14ac:dyDescent="0.3">
      <c r="A432" s="7" t="s">
        <v>450</v>
      </c>
      <c r="B432" s="13">
        <v>43572.321319444447</v>
      </c>
      <c r="C432" s="13">
        <v>43577.321321321317</v>
      </c>
      <c r="D432" s="8" t="s">
        <v>1022</v>
      </c>
      <c r="E432" s="8" t="s">
        <v>1441</v>
      </c>
      <c r="F432" s="8" t="s">
        <v>2258</v>
      </c>
      <c r="G432" s="8" t="s">
        <v>2408</v>
      </c>
      <c r="H432" s="8" t="s">
        <v>2409</v>
      </c>
      <c r="I432" s="8" t="s">
        <v>2415</v>
      </c>
      <c r="J432" s="16" t="s">
        <v>3897</v>
      </c>
      <c r="K432" s="16">
        <v>27142</v>
      </c>
      <c r="L432" s="8" t="s">
        <v>2422</v>
      </c>
      <c r="M432" s="8" t="s">
        <v>2843</v>
      </c>
      <c r="N432" s="8" t="s">
        <v>3373</v>
      </c>
      <c r="O432" s="8" t="s">
        <v>3380</v>
      </c>
      <c r="P432" s="8" t="s">
        <v>3687</v>
      </c>
      <c r="Q432" s="8">
        <v>2788.48</v>
      </c>
      <c r="R432" s="16">
        <v>6</v>
      </c>
      <c r="S432" s="21">
        <v>0.89</v>
      </c>
      <c r="T432" s="16">
        <v>-428.5</v>
      </c>
    </row>
    <row r="433" spans="1:20" x14ac:dyDescent="0.3">
      <c r="A433" s="5" t="s">
        <v>451</v>
      </c>
      <c r="B433" s="12">
        <v>43573.41741898148</v>
      </c>
      <c r="C433" s="12">
        <v>43579.417417417397</v>
      </c>
      <c r="D433" s="6" t="s">
        <v>1020</v>
      </c>
      <c r="E433" s="6" t="s">
        <v>1319</v>
      </c>
      <c r="F433" s="6" t="s">
        <v>2259</v>
      </c>
      <c r="G433" s="6" t="s">
        <v>2407</v>
      </c>
      <c r="H433" s="6" t="s">
        <v>2409</v>
      </c>
      <c r="I433" s="6" t="s">
        <v>2416</v>
      </c>
      <c r="J433" s="15" t="s">
        <v>3891</v>
      </c>
      <c r="K433" s="15">
        <v>28428</v>
      </c>
      <c r="L433" s="6" t="s">
        <v>2422</v>
      </c>
      <c r="M433" s="6" t="s">
        <v>2844</v>
      </c>
      <c r="N433" s="6" t="s">
        <v>3373</v>
      </c>
      <c r="O433" s="6" t="s">
        <v>3380</v>
      </c>
      <c r="P433" s="6" t="s">
        <v>3484</v>
      </c>
      <c r="Q433" s="6">
        <v>3300.66</v>
      </c>
      <c r="R433" s="15">
        <v>3</v>
      </c>
      <c r="S433" s="20">
        <v>0.85</v>
      </c>
      <c r="T433" s="15">
        <v>-647.42999999999995</v>
      </c>
    </row>
    <row r="434" spans="1:20" x14ac:dyDescent="0.3">
      <c r="A434" s="7" t="s">
        <v>452</v>
      </c>
      <c r="B434" s="13">
        <v>43574.513518518521</v>
      </c>
      <c r="C434" s="13">
        <v>43580.513513513513</v>
      </c>
      <c r="D434" s="8" t="s">
        <v>1023</v>
      </c>
      <c r="E434" s="8" t="s">
        <v>1442</v>
      </c>
      <c r="F434" s="8" t="s">
        <v>2118</v>
      </c>
      <c r="G434" s="8" t="s">
        <v>2407</v>
      </c>
      <c r="H434" s="8" t="s">
        <v>2409</v>
      </c>
      <c r="I434" s="8" t="s">
        <v>2416</v>
      </c>
      <c r="J434" s="16" t="s">
        <v>3893</v>
      </c>
      <c r="K434" s="16">
        <v>74369</v>
      </c>
      <c r="L434" s="8" t="s">
        <v>2419</v>
      </c>
      <c r="M434" s="8" t="s">
        <v>2845</v>
      </c>
      <c r="N434" s="8" t="s">
        <v>3373</v>
      </c>
      <c r="O434" s="8" t="s">
        <v>3379</v>
      </c>
      <c r="P434" s="8" t="s">
        <v>3624</v>
      </c>
      <c r="Q434" s="8">
        <v>85.77</v>
      </c>
      <c r="R434" s="16">
        <v>2</v>
      </c>
      <c r="S434" s="21">
        <v>0.09</v>
      </c>
      <c r="T434" s="16">
        <v>34.700000000000003</v>
      </c>
    </row>
    <row r="435" spans="1:20" x14ac:dyDescent="0.3">
      <c r="A435" s="5" t="s">
        <v>453</v>
      </c>
      <c r="B435" s="12">
        <v>43575.609606481485</v>
      </c>
      <c r="C435" s="12">
        <v>43576.609609609608</v>
      </c>
      <c r="D435" s="6" t="s">
        <v>1023</v>
      </c>
      <c r="E435" s="6" t="s">
        <v>1443</v>
      </c>
      <c r="F435" s="6" t="s">
        <v>2260</v>
      </c>
      <c r="G435" s="6" t="s">
        <v>2407</v>
      </c>
      <c r="H435" s="6" t="s">
        <v>2409</v>
      </c>
      <c r="I435" s="6" t="s">
        <v>2411</v>
      </c>
      <c r="J435" s="15" t="s">
        <v>3894</v>
      </c>
      <c r="K435" s="15">
        <v>79784</v>
      </c>
      <c r="L435" s="6" t="s">
        <v>2419</v>
      </c>
      <c r="M435" s="6" t="s">
        <v>2846</v>
      </c>
      <c r="N435" s="6" t="s">
        <v>3372</v>
      </c>
      <c r="O435" s="6" t="s">
        <v>3377</v>
      </c>
      <c r="P435" s="6" t="s">
        <v>3696</v>
      </c>
      <c r="Q435" s="6">
        <v>1750.86</v>
      </c>
      <c r="R435" s="15">
        <v>12</v>
      </c>
      <c r="S435" s="20">
        <v>0.23</v>
      </c>
      <c r="T435" s="15">
        <v>1026.97</v>
      </c>
    </row>
    <row r="436" spans="1:20" x14ac:dyDescent="0.3">
      <c r="A436" s="7" t="s">
        <v>454</v>
      </c>
      <c r="B436" s="13">
        <v>43576.705706018518</v>
      </c>
      <c r="C436" s="13">
        <v>43578.705705705703</v>
      </c>
      <c r="D436" s="8" t="s">
        <v>1022</v>
      </c>
      <c r="E436" s="8" t="s">
        <v>1444</v>
      </c>
      <c r="F436" s="8" t="s">
        <v>2219</v>
      </c>
      <c r="G436" s="8" t="s">
        <v>2407</v>
      </c>
      <c r="H436" s="8" t="s">
        <v>2409</v>
      </c>
      <c r="I436" s="8" t="s">
        <v>2415</v>
      </c>
      <c r="J436" s="16" t="s">
        <v>3898</v>
      </c>
      <c r="K436" s="16">
        <v>93558</v>
      </c>
      <c r="L436" s="8" t="s">
        <v>2422</v>
      </c>
      <c r="M436" s="8" t="s">
        <v>2847</v>
      </c>
      <c r="N436" s="8" t="s">
        <v>3373</v>
      </c>
      <c r="O436" s="8" t="s">
        <v>3380</v>
      </c>
      <c r="P436" s="8" t="s">
        <v>3648</v>
      </c>
      <c r="Q436" s="8">
        <v>3300.88</v>
      </c>
      <c r="R436" s="16">
        <v>6</v>
      </c>
      <c r="S436" s="21">
        <v>0.04</v>
      </c>
      <c r="T436" s="16">
        <v>-2.2400000000000002</v>
      </c>
    </row>
    <row r="437" spans="1:20" x14ac:dyDescent="0.3">
      <c r="A437" s="5" t="s">
        <v>455</v>
      </c>
      <c r="B437" s="12">
        <v>43577.801805555559</v>
      </c>
      <c r="C437" s="12">
        <v>43581.801801801797</v>
      </c>
      <c r="D437" s="6" t="s">
        <v>1022</v>
      </c>
      <c r="E437" s="6" t="s">
        <v>1445</v>
      </c>
      <c r="F437" s="6" t="s">
        <v>2261</v>
      </c>
      <c r="G437" s="6" t="s">
        <v>2406</v>
      </c>
      <c r="H437" s="6" t="s">
        <v>2409</v>
      </c>
      <c r="I437" s="6" t="s">
        <v>2416</v>
      </c>
      <c r="J437" s="15" t="s">
        <v>3891</v>
      </c>
      <c r="K437" s="15">
        <v>76882</v>
      </c>
      <c r="L437" s="6" t="s">
        <v>2420</v>
      </c>
      <c r="M437" s="6" t="s">
        <v>2848</v>
      </c>
      <c r="N437" s="6" t="s">
        <v>3373</v>
      </c>
      <c r="O437" s="6" t="s">
        <v>3379</v>
      </c>
      <c r="P437" s="6" t="s">
        <v>3697</v>
      </c>
      <c r="Q437" s="6">
        <v>3751.11</v>
      </c>
      <c r="R437" s="15">
        <v>14</v>
      </c>
      <c r="S437" s="20">
        <v>0.09</v>
      </c>
      <c r="T437" s="15">
        <v>209.4</v>
      </c>
    </row>
    <row r="438" spans="1:20" x14ac:dyDescent="0.3">
      <c r="A438" s="7" t="s">
        <v>456</v>
      </c>
      <c r="B438" s="13">
        <v>43578.897893518515</v>
      </c>
      <c r="C438" s="13">
        <v>43579.897897897892</v>
      </c>
      <c r="D438" s="8" t="s">
        <v>1022</v>
      </c>
      <c r="E438" s="8" t="s">
        <v>1347</v>
      </c>
      <c r="F438" s="8" t="s">
        <v>2071</v>
      </c>
      <c r="G438" s="8" t="s">
        <v>2406</v>
      </c>
      <c r="H438" s="8" t="s">
        <v>2409</v>
      </c>
      <c r="I438" s="8" t="s">
        <v>2414</v>
      </c>
      <c r="J438" s="16" t="s">
        <v>2410</v>
      </c>
      <c r="K438" s="16">
        <v>41916</v>
      </c>
      <c r="L438" s="8" t="s">
        <v>2420</v>
      </c>
      <c r="M438" s="8" t="s">
        <v>2849</v>
      </c>
      <c r="N438" s="8" t="s">
        <v>3372</v>
      </c>
      <c r="O438" s="8" t="s">
        <v>3384</v>
      </c>
      <c r="P438" s="8" t="s">
        <v>3466</v>
      </c>
      <c r="Q438" s="8">
        <v>3985.32</v>
      </c>
      <c r="R438" s="16">
        <v>5</v>
      </c>
      <c r="S438" s="21">
        <v>0.82</v>
      </c>
      <c r="T438" s="16">
        <v>156.16</v>
      </c>
    </row>
    <row r="439" spans="1:20" x14ac:dyDescent="0.3">
      <c r="A439" s="5" t="s">
        <v>457</v>
      </c>
      <c r="B439" s="12">
        <v>43579.993993055556</v>
      </c>
      <c r="C439" s="12">
        <v>43582.993993993987</v>
      </c>
      <c r="D439" s="6" t="s">
        <v>1021</v>
      </c>
      <c r="E439" s="6" t="s">
        <v>1446</v>
      </c>
      <c r="F439" s="6" t="s">
        <v>2262</v>
      </c>
      <c r="G439" s="6" t="s">
        <v>2407</v>
      </c>
      <c r="H439" s="6" t="s">
        <v>2409</v>
      </c>
      <c r="I439" s="6" t="s">
        <v>2415</v>
      </c>
      <c r="J439" s="15" t="s">
        <v>3891</v>
      </c>
      <c r="K439" s="15">
        <v>64291</v>
      </c>
      <c r="L439" s="6" t="s">
        <v>2420</v>
      </c>
      <c r="M439" s="6" t="s">
        <v>2850</v>
      </c>
      <c r="N439" s="6" t="s">
        <v>3373</v>
      </c>
      <c r="O439" s="6" t="s">
        <v>3381</v>
      </c>
      <c r="P439" s="6" t="s">
        <v>3612</v>
      </c>
      <c r="Q439" s="6">
        <v>2521.4299999999998</v>
      </c>
      <c r="R439" s="15">
        <v>2</v>
      </c>
      <c r="S439" s="20">
        <v>0.67</v>
      </c>
      <c r="T439" s="15">
        <v>999.89</v>
      </c>
    </row>
    <row r="440" spans="1:20" x14ac:dyDescent="0.3">
      <c r="A440" s="7" t="s">
        <v>458</v>
      </c>
      <c r="B440" s="13">
        <v>43581.090092592596</v>
      </c>
      <c r="C440" s="13">
        <v>43583.090090090082</v>
      </c>
      <c r="D440" s="8" t="s">
        <v>1023</v>
      </c>
      <c r="E440" s="8" t="s">
        <v>1447</v>
      </c>
      <c r="F440" s="8" t="s">
        <v>2263</v>
      </c>
      <c r="G440" s="8" t="s">
        <v>2406</v>
      </c>
      <c r="H440" s="8" t="s">
        <v>2409</v>
      </c>
      <c r="I440" s="8" t="s">
        <v>2411</v>
      </c>
      <c r="J440" s="16" t="s">
        <v>2410</v>
      </c>
      <c r="K440" s="16">
        <v>33725</v>
      </c>
      <c r="L440" s="8" t="s">
        <v>2420</v>
      </c>
      <c r="M440" s="8" t="s">
        <v>2851</v>
      </c>
      <c r="N440" s="8" t="s">
        <v>3373</v>
      </c>
      <c r="O440" s="8" t="s">
        <v>3379</v>
      </c>
      <c r="P440" s="8" t="s">
        <v>3698</v>
      </c>
      <c r="Q440" s="8">
        <v>749.4</v>
      </c>
      <c r="R440" s="16">
        <v>3</v>
      </c>
      <c r="S440" s="21">
        <v>0.05</v>
      </c>
      <c r="T440" s="16">
        <v>265.29000000000002</v>
      </c>
    </row>
    <row r="441" spans="1:20" x14ac:dyDescent="0.3">
      <c r="A441" s="5" t="s">
        <v>459</v>
      </c>
      <c r="B441" s="12">
        <v>43582.186180555553</v>
      </c>
      <c r="C441" s="12">
        <v>43588.186186186183</v>
      </c>
      <c r="D441" s="6" t="s">
        <v>1021</v>
      </c>
      <c r="E441" s="6" t="s">
        <v>1220</v>
      </c>
      <c r="F441" s="6" t="s">
        <v>2264</v>
      </c>
      <c r="G441" s="6" t="s">
        <v>2408</v>
      </c>
      <c r="H441" s="6" t="s">
        <v>2409</v>
      </c>
      <c r="I441" s="6" t="s">
        <v>2417</v>
      </c>
      <c r="J441" s="15" t="s">
        <v>3893</v>
      </c>
      <c r="K441" s="15">
        <v>97845</v>
      </c>
      <c r="L441" s="6" t="s">
        <v>2419</v>
      </c>
      <c r="M441" s="6" t="s">
        <v>2852</v>
      </c>
      <c r="N441" s="6" t="s">
        <v>3373</v>
      </c>
      <c r="O441" s="6" t="s">
        <v>3381</v>
      </c>
      <c r="P441" s="6" t="s">
        <v>3457</v>
      </c>
      <c r="Q441" s="6">
        <v>1588.88</v>
      </c>
      <c r="R441" s="15">
        <v>4</v>
      </c>
      <c r="S441" s="20">
        <v>0.66</v>
      </c>
      <c r="T441" s="15">
        <v>389.23</v>
      </c>
    </row>
    <row r="442" spans="1:20" x14ac:dyDescent="0.3">
      <c r="A442" s="7" t="s">
        <v>460</v>
      </c>
      <c r="B442" s="13">
        <v>43583.282280092593</v>
      </c>
      <c r="C442" s="13">
        <v>43585.282282282278</v>
      </c>
      <c r="D442" s="8" t="s">
        <v>1021</v>
      </c>
      <c r="E442" s="8" t="s">
        <v>1448</v>
      </c>
      <c r="F442" s="8" t="s">
        <v>2265</v>
      </c>
      <c r="G442" s="8" t="s">
        <v>2408</v>
      </c>
      <c r="H442" s="8" t="s">
        <v>2409</v>
      </c>
      <c r="I442" s="8" t="s">
        <v>2413</v>
      </c>
      <c r="J442" s="16" t="s">
        <v>3894</v>
      </c>
      <c r="K442" s="16">
        <v>27087</v>
      </c>
      <c r="L442" s="8" t="s">
        <v>2420</v>
      </c>
      <c r="M442" s="8" t="s">
        <v>2853</v>
      </c>
      <c r="N442" s="8" t="s">
        <v>3371</v>
      </c>
      <c r="O442" s="8" t="s">
        <v>3375</v>
      </c>
      <c r="P442" s="8" t="s">
        <v>3699</v>
      </c>
      <c r="Q442" s="8">
        <v>3857.96</v>
      </c>
      <c r="R442" s="16">
        <v>11</v>
      </c>
      <c r="S442" s="21">
        <v>0.28000000000000003</v>
      </c>
      <c r="T442" s="16">
        <v>1138.98</v>
      </c>
    </row>
    <row r="443" spans="1:20" x14ac:dyDescent="0.3">
      <c r="A443" s="5" t="s">
        <v>461</v>
      </c>
      <c r="B443" s="12">
        <v>43584.378379629627</v>
      </c>
      <c r="C443" s="12">
        <v>43585.378378378373</v>
      </c>
      <c r="D443" s="6" t="s">
        <v>1023</v>
      </c>
      <c r="E443" s="6" t="s">
        <v>1449</v>
      </c>
      <c r="F443" s="6" t="s">
        <v>2263</v>
      </c>
      <c r="G443" s="6" t="s">
        <v>2408</v>
      </c>
      <c r="H443" s="6" t="s">
        <v>2409</v>
      </c>
      <c r="I443" s="6" t="s">
        <v>2414</v>
      </c>
      <c r="J443" s="15" t="s">
        <v>3894</v>
      </c>
      <c r="K443" s="15">
        <v>99774</v>
      </c>
      <c r="L443" s="6" t="s">
        <v>2419</v>
      </c>
      <c r="M443" s="6" t="s">
        <v>2854</v>
      </c>
      <c r="N443" s="6" t="s">
        <v>3372</v>
      </c>
      <c r="O443" s="6" t="s">
        <v>3384</v>
      </c>
      <c r="P443" s="6" t="s">
        <v>3408</v>
      </c>
      <c r="Q443" s="6">
        <v>237.81</v>
      </c>
      <c r="R443" s="15">
        <v>12</v>
      </c>
      <c r="S443" s="20">
        <v>0.63</v>
      </c>
      <c r="T443" s="15">
        <v>106.84</v>
      </c>
    </row>
    <row r="444" spans="1:20" x14ac:dyDescent="0.3">
      <c r="A444" s="7" t="s">
        <v>462</v>
      </c>
      <c r="B444" s="13">
        <v>43585.474479166667</v>
      </c>
      <c r="C444" s="13">
        <v>43586.474474474468</v>
      </c>
      <c r="D444" s="8" t="s">
        <v>1022</v>
      </c>
      <c r="E444" s="8" t="s">
        <v>1450</v>
      </c>
      <c r="F444" s="8" t="s">
        <v>2106</v>
      </c>
      <c r="G444" s="8" t="s">
        <v>2408</v>
      </c>
      <c r="H444" s="8" t="s">
        <v>2409</v>
      </c>
      <c r="I444" s="8" t="s">
        <v>2413</v>
      </c>
      <c r="J444" s="16" t="s">
        <v>3898</v>
      </c>
      <c r="K444" s="16">
        <v>82284</v>
      </c>
      <c r="L444" s="8" t="s">
        <v>2421</v>
      </c>
      <c r="M444" s="8" t="s">
        <v>2855</v>
      </c>
      <c r="N444" s="8" t="s">
        <v>3372</v>
      </c>
      <c r="O444" s="8" t="s">
        <v>3384</v>
      </c>
      <c r="P444" s="8" t="s">
        <v>3470</v>
      </c>
      <c r="Q444" s="8">
        <v>794.19</v>
      </c>
      <c r="R444" s="16">
        <v>2</v>
      </c>
      <c r="S444" s="21">
        <v>0.39</v>
      </c>
      <c r="T444" s="16">
        <v>54.64</v>
      </c>
    </row>
    <row r="445" spans="1:20" x14ac:dyDescent="0.3">
      <c r="A445" s="5" t="s">
        <v>463</v>
      </c>
      <c r="B445" s="12">
        <v>43586.570567129631</v>
      </c>
      <c r="C445" s="12">
        <v>43592.57057057057</v>
      </c>
      <c r="D445" s="6" t="s">
        <v>1022</v>
      </c>
      <c r="E445" s="6" t="s">
        <v>1451</v>
      </c>
      <c r="F445" s="6" t="s">
        <v>2266</v>
      </c>
      <c r="G445" s="6" t="s">
        <v>2406</v>
      </c>
      <c r="H445" s="6" t="s">
        <v>2409</v>
      </c>
      <c r="I445" s="6" t="s">
        <v>2418</v>
      </c>
      <c r="J445" s="15" t="s">
        <v>3896</v>
      </c>
      <c r="K445" s="15">
        <v>78510</v>
      </c>
      <c r="L445" s="6" t="s">
        <v>2422</v>
      </c>
      <c r="M445" s="6" t="s">
        <v>2856</v>
      </c>
      <c r="N445" s="6" t="s">
        <v>3371</v>
      </c>
      <c r="O445" s="6" t="s">
        <v>3375</v>
      </c>
      <c r="P445" s="6" t="s">
        <v>3395</v>
      </c>
      <c r="Q445" s="6">
        <v>2844.92</v>
      </c>
      <c r="R445" s="15">
        <v>4</v>
      </c>
      <c r="S445" s="20">
        <v>0.04</v>
      </c>
      <c r="T445" s="15">
        <v>-500.93</v>
      </c>
    </row>
    <row r="446" spans="1:20" x14ac:dyDescent="0.3">
      <c r="A446" s="7" t="s">
        <v>464</v>
      </c>
      <c r="B446" s="13">
        <v>43587.666666666664</v>
      </c>
      <c r="C446" s="13">
        <v>43592.666666666657</v>
      </c>
      <c r="D446" s="8" t="s">
        <v>1022</v>
      </c>
      <c r="E446" s="8" t="s">
        <v>1452</v>
      </c>
      <c r="F446" s="8" t="s">
        <v>2267</v>
      </c>
      <c r="G446" s="8" t="s">
        <v>2408</v>
      </c>
      <c r="H446" s="8" t="s">
        <v>2409</v>
      </c>
      <c r="I446" s="8" t="s">
        <v>2412</v>
      </c>
      <c r="J446" s="16" t="s">
        <v>3891</v>
      </c>
      <c r="K446" s="16">
        <v>94598</v>
      </c>
      <c r="L446" s="8" t="s">
        <v>2421</v>
      </c>
      <c r="M446" s="8" t="s">
        <v>2857</v>
      </c>
      <c r="N446" s="8" t="s">
        <v>3372</v>
      </c>
      <c r="O446" s="8" t="s">
        <v>3377</v>
      </c>
      <c r="P446" s="8" t="s">
        <v>3700</v>
      </c>
      <c r="Q446" s="8">
        <v>3609.39</v>
      </c>
      <c r="R446" s="16">
        <v>10</v>
      </c>
      <c r="S446" s="21">
        <v>0.02</v>
      </c>
      <c r="T446" s="16">
        <v>1007.27</v>
      </c>
    </row>
    <row r="447" spans="1:20" x14ac:dyDescent="0.3">
      <c r="A447" s="5" t="s">
        <v>465</v>
      </c>
      <c r="B447" s="12">
        <v>43588.762766203705</v>
      </c>
      <c r="C447" s="12">
        <v>43593.762762762752</v>
      </c>
      <c r="D447" s="6" t="s">
        <v>1023</v>
      </c>
      <c r="E447" s="6" t="s">
        <v>1453</v>
      </c>
      <c r="F447" s="6" t="s">
        <v>2268</v>
      </c>
      <c r="G447" s="6" t="s">
        <v>2406</v>
      </c>
      <c r="H447" s="6" t="s">
        <v>2409</v>
      </c>
      <c r="I447" s="6" t="s">
        <v>2414</v>
      </c>
      <c r="J447" s="15" t="s">
        <v>2410</v>
      </c>
      <c r="K447" s="15">
        <v>32022</v>
      </c>
      <c r="L447" s="6" t="s">
        <v>2422</v>
      </c>
      <c r="M447" s="6" t="s">
        <v>2858</v>
      </c>
      <c r="N447" s="6" t="s">
        <v>3371</v>
      </c>
      <c r="O447" s="6" t="s">
        <v>3383</v>
      </c>
      <c r="P447" s="6" t="s">
        <v>3701</v>
      </c>
      <c r="Q447" s="6">
        <v>3942.76</v>
      </c>
      <c r="R447" s="15">
        <v>14</v>
      </c>
      <c r="S447" s="20">
        <v>0.8</v>
      </c>
      <c r="T447" s="15">
        <v>1618.3</v>
      </c>
    </row>
    <row r="448" spans="1:20" x14ac:dyDescent="0.3">
      <c r="A448" s="7" t="s">
        <v>466</v>
      </c>
      <c r="B448" s="13">
        <v>43589.858854166669</v>
      </c>
      <c r="C448" s="13">
        <v>43592.858858858854</v>
      </c>
      <c r="D448" s="8" t="s">
        <v>1021</v>
      </c>
      <c r="E448" s="8" t="s">
        <v>1454</v>
      </c>
      <c r="F448" s="8" t="s">
        <v>2079</v>
      </c>
      <c r="G448" s="8" t="s">
        <v>2406</v>
      </c>
      <c r="H448" s="8" t="s">
        <v>2409</v>
      </c>
      <c r="I448" s="8" t="s">
        <v>2418</v>
      </c>
      <c r="J448" s="16" t="s">
        <v>3896</v>
      </c>
      <c r="K448" s="16">
        <v>15672</v>
      </c>
      <c r="L448" s="8" t="s">
        <v>2421</v>
      </c>
      <c r="M448" s="8" t="s">
        <v>2859</v>
      </c>
      <c r="N448" s="8" t="s">
        <v>3373</v>
      </c>
      <c r="O448" s="8" t="s">
        <v>3379</v>
      </c>
      <c r="P448" s="8" t="s">
        <v>3486</v>
      </c>
      <c r="Q448" s="8">
        <v>1056.3699999999999</v>
      </c>
      <c r="R448" s="16">
        <v>1</v>
      </c>
      <c r="S448" s="21">
        <v>0.71</v>
      </c>
      <c r="T448" s="16">
        <v>609.41</v>
      </c>
    </row>
    <row r="449" spans="1:20" x14ac:dyDescent="0.3">
      <c r="A449" s="5" t="s">
        <v>467</v>
      </c>
      <c r="B449" s="12">
        <v>43590.954953703702</v>
      </c>
      <c r="C449" s="12">
        <v>43592.954954954963</v>
      </c>
      <c r="D449" s="6" t="s">
        <v>1023</v>
      </c>
      <c r="E449" s="6" t="s">
        <v>1455</v>
      </c>
      <c r="F449" s="6" t="s">
        <v>2241</v>
      </c>
      <c r="G449" s="6" t="s">
        <v>2407</v>
      </c>
      <c r="H449" s="6" t="s">
        <v>2409</v>
      </c>
      <c r="I449" s="6" t="s">
        <v>2413</v>
      </c>
      <c r="J449" s="15" t="s">
        <v>2410</v>
      </c>
      <c r="K449" s="15">
        <v>61470</v>
      </c>
      <c r="L449" s="6" t="s">
        <v>2419</v>
      </c>
      <c r="M449" s="6" t="s">
        <v>2860</v>
      </c>
      <c r="N449" s="6" t="s">
        <v>3371</v>
      </c>
      <c r="O449" s="6" t="s">
        <v>3375</v>
      </c>
      <c r="P449" s="6" t="s">
        <v>3445</v>
      </c>
      <c r="Q449" s="6">
        <v>1846.76</v>
      </c>
      <c r="R449" s="15">
        <v>14</v>
      </c>
      <c r="S449" s="20">
        <v>0.48</v>
      </c>
      <c r="T449" s="15">
        <v>-312.05</v>
      </c>
    </row>
    <row r="450" spans="1:20" x14ac:dyDescent="0.3">
      <c r="A450" s="7" t="s">
        <v>468</v>
      </c>
      <c r="B450" s="13">
        <v>43592.051053240742</v>
      </c>
      <c r="C450" s="13">
        <v>43593.051051051043</v>
      </c>
      <c r="D450" s="8" t="s">
        <v>1023</v>
      </c>
      <c r="E450" s="8" t="s">
        <v>1456</v>
      </c>
      <c r="F450" s="8" t="s">
        <v>2269</v>
      </c>
      <c r="G450" s="8" t="s">
        <v>2406</v>
      </c>
      <c r="H450" s="8" t="s">
        <v>2409</v>
      </c>
      <c r="I450" s="8" t="s">
        <v>2411</v>
      </c>
      <c r="J450" s="16" t="s">
        <v>3891</v>
      </c>
      <c r="K450" s="16">
        <v>71542</v>
      </c>
      <c r="L450" s="8" t="s">
        <v>2422</v>
      </c>
      <c r="M450" s="8" t="s">
        <v>2861</v>
      </c>
      <c r="N450" s="8" t="s">
        <v>3373</v>
      </c>
      <c r="O450" s="8" t="s">
        <v>3385</v>
      </c>
      <c r="P450" s="8" t="s">
        <v>3394</v>
      </c>
      <c r="Q450" s="8">
        <v>1279.08</v>
      </c>
      <c r="R450" s="16">
        <v>8</v>
      </c>
      <c r="S450" s="21">
        <v>0.31</v>
      </c>
      <c r="T450" s="16">
        <v>-157.88999999999999</v>
      </c>
    </row>
    <row r="451" spans="1:20" x14ac:dyDescent="0.3">
      <c r="A451" s="5" t="s">
        <v>469</v>
      </c>
      <c r="B451" s="12">
        <v>43593.147152777776</v>
      </c>
      <c r="C451" s="12">
        <v>43594.147147147138</v>
      </c>
      <c r="D451" s="6" t="s">
        <v>1022</v>
      </c>
      <c r="E451" s="6" t="s">
        <v>1457</v>
      </c>
      <c r="F451" s="6" t="s">
        <v>2270</v>
      </c>
      <c r="G451" s="6" t="s">
        <v>2408</v>
      </c>
      <c r="H451" s="6" t="s">
        <v>2409</v>
      </c>
      <c r="I451" s="6" t="s">
        <v>2418</v>
      </c>
      <c r="J451" s="15" t="s">
        <v>3892</v>
      </c>
      <c r="K451" s="15">
        <v>31296</v>
      </c>
      <c r="L451" s="6" t="s">
        <v>2419</v>
      </c>
      <c r="M451" s="6" t="s">
        <v>2862</v>
      </c>
      <c r="N451" s="6" t="s">
        <v>3372</v>
      </c>
      <c r="O451" s="6" t="s">
        <v>3378</v>
      </c>
      <c r="P451" s="6" t="s">
        <v>3427</v>
      </c>
      <c r="Q451" s="6">
        <v>1437.4</v>
      </c>
      <c r="R451" s="15">
        <v>12</v>
      </c>
      <c r="S451" s="20">
        <v>0.54</v>
      </c>
      <c r="T451" s="15">
        <v>-159.85</v>
      </c>
    </row>
    <row r="452" spans="1:20" x14ac:dyDescent="0.3">
      <c r="A452" s="7" t="s">
        <v>470</v>
      </c>
      <c r="B452" s="13">
        <v>43594.24324074074</v>
      </c>
      <c r="C452" s="13">
        <v>43599.24324324324</v>
      </c>
      <c r="D452" s="8" t="s">
        <v>1023</v>
      </c>
      <c r="E452" s="8" t="s">
        <v>1458</v>
      </c>
      <c r="F452" s="8" t="s">
        <v>2106</v>
      </c>
      <c r="G452" s="8" t="s">
        <v>2406</v>
      </c>
      <c r="H452" s="8" t="s">
        <v>2409</v>
      </c>
      <c r="I452" s="8" t="s">
        <v>2417</v>
      </c>
      <c r="J452" s="16" t="s">
        <v>3898</v>
      </c>
      <c r="K452" s="16">
        <v>10019</v>
      </c>
      <c r="L452" s="8" t="s">
        <v>2421</v>
      </c>
      <c r="M452" s="8" t="s">
        <v>2863</v>
      </c>
      <c r="N452" s="8" t="s">
        <v>3371</v>
      </c>
      <c r="O452" s="8" t="s">
        <v>3383</v>
      </c>
      <c r="P452" s="8" t="s">
        <v>3409</v>
      </c>
      <c r="Q452" s="8">
        <v>4030.8</v>
      </c>
      <c r="R452" s="16">
        <v>11</v>
      </c>
      <c r="S452" s="21">
        <v>0.75</v>
      </c>
      <c r="T452" s="16">
        <v>162.69</v>
      </c>
    </row>
    <row r="453" spans="1:20" x14ac:dyDescent="0.3">
      <c r="A453" s="5" t="s">
        <v>471</v>
      </c>
      <c r="B453" s="12">
        <v>43595.33934027778</v>
      </c>
      <c r="C453" s="12">
        <v>43596.339339339327</v>
      </c>
      <c r="D453" s="6" t="s">
        <v>1021</v>
      </c>
      <c r="E453" s="6" t="s">
        <v>1459</v>
      </c>
      <c r="F453" s="6" t="s">
        <v>2100</v>
      </c>
      <c r="G453" s="6" t="s">
        <v>2408</v>
      </c>
      <c r="H453" s="6" t="s">
        <v>2409</v>
      </c>
      <c r="I453" s="6" t="s">
        <v>2413</v>
      </c>
      <c r="J453" s="15" t="s">
        <v>3896</v>
      </c>
      <c r="K453" s="15">
        <v>64535</v>
      </c>
      <c r="L453" s="6" t="s">
        <v>2422</v>
      </c>
      <c r="M453" s="6" t="s">
        <v>2864</v>
      </c>
      <c r="N453" s="6" t="s">
        <v>3372</v>
      </c>
      <c r="O453" s="6" t="s">
        <v>3376</v>
      </c>
      <c r="P453" s="6" t="s">
        <v>3702</v>
      </c>
      <c r="Q453" s="6">
        <v>1902.43</v>
      </c>
      <c r="R453" s="15">
        <v>10</v>
      </c>
      <c r="S453" s="20">
        <v>0.27</v>
      </c>
      <c r="T453" s="15">
        <v>337.28</v>
      </c>
    </row>
    <row r="454" spans="1:20" x14ac:dyDescent="0.3">
      <c r="A454" s="7" t="s">
        <v>472</v>
      </c>
      <c r="B454" s="13">
        <v>43596.435439814813</v>
      </c>
      <c r="C454" s="13">
        <v>43599.435435435429</v>
      </c>
      <c r="D454" s="8" t="s">
        <v>1020</v>
      </c>
      <c r="E454" s="8" t="s">
        <v>1460</v>
      </c>
      <c r="F454" s="8" t="s">
        <v>2271</v>
      </c>
      <c r="G454" s="8" t="s">
        <v>2406</v>
      </c>
      <c r="H454" s="8" t="s">
        <v>2409</v>
      </c>
      <c r="I454" s="8" t="s">
        <v>2415</v>
      </c>
      <c r="J454" s="16" t="s">
        <v>3894</v>
      </c>
      <c r="K454" s="16">
        <v>59609</v>
      </c>
      <c r="L454" s="8" t="s">
        <v>2422</v>
      </c>
      <c r="M454" s="8" t="s">
        <v>2865</v>
      </c>
      <c r="N454" s="8" t="s">
        <v>3371</v>
      </c>
      <c r="O454" s="8" t="s">
        <v>3374</v>
      </c>
      <c r="P454" s="8" t="s">
        <v>3703</v>
      </c>
      <c r="Q454" s="8">
        <v>1792.34</v>
      </c>
      <c r="R454" s="16">
        <v>2</v>
      </c>
      <c r="S454" s="21">
        <v>0.52</v>
      </c>
      <c r="T454" s="16">
        <v>-217.48</v>
      </c>
    </row>
    <row r="455" spans="1:20" x14ac:dyDescent="0.3">
      <c r="A455" s="5" t="s">
        <v>473</v>
      </c>
      <c r="B455" s="12">
        <v>43597.531527777777</v>
      </c>
      <c r="C455" s="12">
        <v>43603.531531531531</v>
      </c>
      <c r="D455" s="6" t="s">
        <v>1021</v>
      </c>
      <c r="E455" s="6" t="s">
        <v>1461</v>
      </c>
      <c r="F455" s="6" t="s">
        <v>2272</v>
      </c>
      <c r="G455" s="6" t="s">
        <v>2406</v>
      </c>
      <c r="H455" s="6" t="s">
        <v>2409</v>
      </c>
      <c r="I455" s="6" t="s">
        <v>2416</v>
      </c>
      <c r="J455" s="15" t="s">
        <v>3896</v>
      </c>
      <c r="K455" s="15">
        <v>94306</v>
      </c>
      <c r="L455" s="6" t="s">
        <v>2419</v>
      </c>
      <c r="M455" s="6" t="s">
        <v>2866</v>
      </c>
      <c r="N455" s="6" t="s">
        <v>3371</v>
      </c>
      <c r="O455" s="6" t="s">
        <v>3382</v>
      </c>
      <c r="P455" s="6" t="s">
        <v>3549</v>
      </c>
      <c r="Q455" s="6">
        <v>4300.5</v>
      </c>
      <c r="R455" s="15">
        <v>8</v>
      </c>
      <c r="S455" s="20">
        <v>0.9</v>
      </c>
      <c r="T455" s="15">
        <v>897.02</v>
      </c>
    </row>
    <row r="456" spans="1:20" x14ac:dyDescent="0.3">
      <c r="A456" s="7" t="s">
        <v>474</v>
      </c>
      <c r="B456" s="13">
        <v>43598.627627314818</v>
      </c>
      <c r="C456" s="13">
        <v>43601.627627627633</v>
      </c>
      <c r="D456" s="8" t="s">
        <v>1023</v>
      </c>
      <c r="E456" s="8" t="s">
        <v>1462</v>
      </c>
      <c r="F456" s="8" t="s">
        <v>2206</v>
      </c>
      <c r="G456" s="8" t="s">
        <v>2406</v>
      </c>
      <c r="H456" s="8" t="s">
        <v>2409</v>
      </c>
      <c r="I456" s="8" t="s">
        <v>2414</v>
      </c>
      <c r="J456" s="16" t="s">
        <v>2410</v>
      </c>
      <c r="K456" s="16">
        <v>82693</v>
      </c>
      <c r="L456" s="8" t="s">
        <v>2419</v>
      </c>
      <c r="M456" s="8" t="s">
        <v>2778</v>
      </c>
      <c r="N456" s="8" t="s">
        <v>3371</v>
      </c>
      <c r="O456" s="8" t="s">
        <v>3375</v>
      </c>
      <c r="P456" s="8" t="s">
        <v>3704</v>
      </c>
      <c r="Q456" s="8">
        <v>1891.96</v>
      </c>
      <c r="R456" s="16">
        <v>8</v>
      </c>
      <c r="S456" s="21">
        <v>0.31</v>
      </c>
      <c r="T456" s="16">
        <v>-124.93</v>
      </c>
    </row>
    <row r="457" spans="1:20" x14ac:dyDescent="0.3">
      <c r="A457" s="5" t="s">
        <v>475</v>
      </c>
      <c r="B457" s="12">
        <v>43599.723726851851</v>
      </c>
      <c r="C457" s="12">
        <v>43605.723723723713</v>
      </c>
      <c r="D457" s="6" t="s">
        <v>1021</v>
      </c>
      <c r="E457" s="6" t="s">
        <v>1463</v>
      </c>
      <c r="F457" s="6" t="s">
        <v>2259</v>
      </c>
      <c r="G457" s="6" t="s">
        <v>2407</v>
      </c>
      <c r="H457" s="6" t="s">
        <v>2409</v>
      </c>
      <c r="I457" s="6" t="s">
        <v>2416</v>
      </c>
      <c r="J457" s="15" t="s">
        <v>3894</v>
      </c>
      <c r="K457" s="15">
        <v>50417</v>
      </c>
      <c r="L457" s="6" t="s">
        <v>2419</v>
      </c>
      <c r="M457" s="6" t="s">
        <v>2867</v>
      </c>
      <c r="N457" s="6" t="s">
        <v>3371</v>
      </c>
      <c r="O457" s="6" t="s">
        <v>3374</v>
      </c>
      <c r="P457" s="6" t="s">
        <v>3705</v>
      </c>
      <c r="Q457" s="6">
        <v>2473.11</v>
      </c>
      <c r="R457" s="15">
        <v>12</v>
      </c>
      <c r="S457" s="20">
        <v>0.17</v>
      </c>
      <c r="T457" s="15">
        <v>445.91</v>
      </c>
    </row>
    <row r="458" spans="1:20" x14ac:dyDescent="0.3">
      <c r="A458" s="7" t="s">
        <v>476</v>
      </c>
      <c r="B458" s="13">
        <v>43600.819814814815</v>
      </c>
      <c r="C458" s="13">
        <v>43606.819819819822</v>
      </c>
      <c r="D458" s="8" t="s">
        <v>1020</v>
      </c>
      <c r="E458" s="8" t="s">
        <v>1464</v>
      </c>
      <c r="F458" s="8" t="s">
        <v>2273</v>
      </c>
      <c r="G458" s="8" t="s">
        <v>2407</v>
      </c>
      <c r="H458" s="8" t="s">
        <v>2409</v>
      </c>
      <c r="I458" s="8" t="s">
        <v>2410</v>
      </c>
      <c r="J458" s="16" t="s">
        <v>3898</v>
      </c>
      <c r="K458" s="16">
        <v>70435</v>
      </c>
      <c r="L458" s="8" t="s">
        <v>2422</v>
      </c>
      <c r="M458" s="8" t="s">
        <v>2862</v>
      </c>
      <c r="N458" s="8" t="s">
        <v>3373</v>
      </c>
      <c r="O458" s="8" t="s">
        <v>3380</v>
      </c>
      <c r="P458" s="8" t="s">
        <v>3706</v>
      </c>
      <c r="Q458" s="8">
        <v>833.73</v>
      </c>
      <c r="R458" s="16">
        <v>4</v>
      </c>
      <c r="S458" s="21">
        <v>0.88</v>
      </c>
      <c r="T458" s="16">
        <v>248.01</v>
      </c>
    </row>
    <row r="459" spans="1:20" x14ac:dyDescent="0.3">
      <c r="A459" s="5" t="s">
        <v>477</v>
      </c>
      <c r="B459" s="12">
        <v>43601.915914351855</v>
      </c>
      <c r="C459" s="12">
        <v>43604.915915915917</v>
      </c>
      <c r="D459" s="6" t="s">
        <v>1021</v>
      </c>
      <c r="E459" s="6" t="s">
        <v>1465</v>
      </c>
      <c r="F459" s="6" t="s">
        <v>2274</v>
      </c>
      <c r="G459" s="6" t="s">
        <v>2408</v>
      </c>
      <c r="H459" s="6" t="s">
        <v>2409</v>
      </c>
      <c r="I459" s="6" t="s">
        <v>2414</v>
      </c>
      <c r="J459" s="15" t="s">
        <v>3892</v>
      </c>
      <c r="K459" s="15">
        <v>35299</v>
      </c>
      <c r="L459" s="6" t="s">
        <v>2419</v>
      </c>
      <c r="M459" s="6" t="s">
        <v>2868</v>
      </c>
      <c r="N459" s="6" t="s">
        <v>3371</v>
      </c>
      <c r="O459" s="6" t="s">
        <v>3383</v>
      </c>
      <c r="P459" s="6" t="s">
        <v>3707</v>
      </c>
      <c r="Q459" s="6">
        <v>1673.22</v>
      </c>
      <c r="R459" s="15">
        <v>10</v>
      </c>
      <c r="S459" s="20">
        <v>0.65</v>
      </c>
      <c r="T459" s="15">
        <v>480.11</v>
      </c>
    </row>
    <row r="460" spans="1:20" x14ac:dyDescent="0.3">
      <c r="A460" s="7" t="s">
        <v>478</v>
      </c>
      <c r="B460" s="13">
        <v>43603.012013888889</v>
      </c>
      <c r="C460" s="13">
        <v>43607.012012011997</v>
      </c>
      <c r="D460" s="8" t="s">
        <v>1023</v>
      </c>
      <c r="E460" s="8" t="s">
        <v>1466</v>
      </c>
      <c r="F460" s="8" t="s">
        <v>2127</v>
      </c>
      <c r="G460" s="8" t="s">
        <v>2407</v>
      </c>
      <c r="H460" s="8" t="s">
        <v>2409</v>
      </c>
      <c r="I460" s="8" t="s">
        <v>2415</v>
      </c>
      <c r="J460" s="16" t="s">
        <v>3894</v>
      </c>
      <c r="K460" s="16">
        <v>51089</v>
      </c>
      <c r="L460" s="8" t="s">
        <v>2420</v>
      </c>
      <c r="M460" s="8" t="s">
        <v>2869</v>
      </c>
      <c r="N460" s="8" t="s">
        <v>3373</v>
      </c>
      <c r="O460" s="8" t="s">
        <v>3379</v>
      </c>
      <c r="P460" s="8" t="s">
        <v>3435</v>
      </c>
      <c r="Q460" s="8">
        <v>4619.59</v>
      </c>
      <c r="R460" s="16">
        <v>6</v>
      </c>
      <c r="S460" s="21">
        <v>0.14000000000000001</v>
      </c>
      <c r="T460" s="16">
        <v>413.34</v>
      </c>
    </row>
    <row r="461" spans="1:20" x14ac:dyDescent="0.3">
      <c r="A461" s="5" t="s">
        <v>479</v>
      </c>
      <c r="B461" s="12">
        <v>43604.108113425929</v>
      </c>
      <c r="C461" s="12">
        <v>43607.108108108099</v>
      </c>
      <c r="D461" s="6" t="s">
        <v>1021</v>
      </c>
      <c r="E461" s="6" t="s">
        <v>1315</v>
      </c>
      <c r="F461" s="6" t="s">
        <v>1985</v>
      </c>
      <c r="G461" s="6" t="s">
        <v>2406</v>
      </c>
      <c r="H461" s="6" t="s">
        <v>2409</v>
      </c>
      <c r="I461" s="6" t="s">
        <v>2413</v>
      </c>
      <c r="J461" s="15" t="s">
        <v>3894</v>
      </c>
      <c r="K461" s="15">
        <v>17409</v>
      </c>
      <c r="L461" s="6" t="s">
        <v>2422</v>
      </c>
      <c r="M461" s="6" t="s">
        <v>2870</v>
      </c>
      <c r="N461" s="6" t="s">
        <v>3371</v>
      </c>
      <c r="O461" s="6" t="s">
        <v>3374</v>
      </c>
      <c r="P461" s="6" t="s">
        <v>3708</v>
      </c>
      <c r="Q461" s="6">
        <v>879.64</v>
      </c>
      <c r="R461" s="15">
        <v>14</v>
      </c>
      <c r="S461" s="20">
        <v>0.51</v>
      </c>
      <c r="T461" s="15">
        <v>-170.81</v>
      </c>
    </row>
    <row r="462" spans="1:20" x14ac:dyDescent="0.3">
      <c r="A462" s="7" t="s">
        <v>480</v>
      </c>
      <c r="B462" s="13">
        <v>43605.204201388886</v>
      </c>
      <c r="C462" s="13">
        <v>43611.204204204201</v>
      </c>
      <c r="D462" s="8" t="s">
        <v>1022</v>
      </c>
      <c r="E462" s="8" t="s">
        <v>1467</v>
      </c>
      <c r="F462" s="8" t="s">
        <v>2180</v>
      </c>
      <c r="G462" s="8" t="s">
        <v>2408</v>
      </c>
      <c r="H462" s="8" t="s">
        <v>2409</v>
      </c>
      <c r="I462" s="8" t="s">
        <v>2418</v>
      </c>
      <c r="J462" s="16" t="s">
        <v>3895</v>
      </c>
      <c r="K462" s="16">
        <v>92270</v>
      </c>
      <c r="L462" s="8" t="s">
        <v>2419</v>
      </c>
      <c r="M462" s="8" t="s">
        <v>2871</v>
      </c>
      <c r="N462" s="8" t="s">
        <v>3372</v>
      </c>
      <c r="O462" s="8" t="s">
        <v>3376</v>
      </c>
      <c r="P462" s="8" t="s">
        <v>3664</v>
      </c>
      <c r="Q462" s="8">
        <v>3622.92</v>
      </c>
      <c r="R462" s="16">
        <v>8</v>
      </c>
      <c r="S462" s="21">
        <v>0.61</v>
      </c>
      <c r="T462" s="16">
        <v>1185.18</v>
      </c>
    </row>
    <row r="463" spans="1:20" x14ac:dyDescent="0.3">
      <c r="A463" s="5" t="s">
        <v>481</v>
      </c>
      <c r="B463" s="12">
        <v>43606.300300925926</v>
      </c>
      <c r="C463" s="12">
        <v>43612.300300300289</v>
      </c>
      <c r="D463" s="6" t="s">
        <v>1020</v>
      </c>
      <c r="E463" s="6" t="s">
        <v>1468</v>
      </c>
      <c r="F463" s="6" t="s">
        <v>2275</v>
      </c>
      <c r="G463" s="6" t="s">
        <v>2407</v>
      </c>
      <c r="H463" s="6" t="s">
        <v>2409</v>
      </c>
      <c r="I463" s="6" t="s">
        <v>2410</v>
      </c>
      <c r="J463" s="15" t="s">
        <v>2410</v>
      </c>
      <c r="K463" s="15">
        <v>75946</v>
      </c>
      <c r="L463" s="6" t="s">
        <v>2422</v>
      </c>
      <c r="M463" s="6" t="s">
        <v>2872</v>
      </c>
      <c r="N463" s="6" t="s">
        <v>3372</v>
      </c>
      <c r="O463" s="6" t="s">
        <v>3376</v>
      </c>
      <c r="P463" s="6" t="s">
        <v>3709</v>
      </c>
      <c r="Q463" s="6">
        <v>3002.49</v>
      </c>
      <c r="R463" s="15">
        <v>2</v>
      </c>
      <c r="S463" s="20">
        <v>0.77</v>
      </c>
      <c r="T463" s="15">
        <v>1097.58</v>
      </c>
    </row>
    <row r="464" spans="1:20" x14ac:dyDescent="0.3">
      <c r="A464" s="7" t="s">
        <v>482</v>
      </c>
      <c r="B464" s="13">
        <v>43607.39640046296</v>
      </c>
      <c r="C464" s="13">
        <v>43608.396396396391</v>
      </c>
      <c r="D464" s="8" t="s">
        <v>1021</v>
      </c>
      <c r="E464" s="8" t="s">
        <v>1469</v>
      </c>
      <c r="F464" s="8" t="s">
        <v>2276</v>
      </c>
      <c r="G464" s="8" t="s">
        <v>2406</v>
      </c>
      <c r="H464" s="8" t="s">
        <v>2409</v>
      </c>
      <c r="I464" s="8" t="s">
        <v>2416</v>
      </c>
      <c r="J464" s="16" t="s">
        <v>3894</v>
      </c>
      <c r="K464" s="16">
        <v>35421</v>
      </c>
      <c r="L464" s="8" t="s">
        <v>2420</v>
      </c>
      <c r="M464" s="8" t="s">
        <v>2873</v>
      </c>
      <c r="N464" s="8" t="s">
        <v>3371</v>
      </c>
      <c r="O464" s="8" t="s">
        <v>3382</v>
      </c>
      <c r="P464" s="8" t="s">
        <v>3651</v>
      </c>
      <c r="Q464" s="8">
        <v>2413.6799999999998</v>
      </c>
      <c r="R464" s="16">
        <v>9</v>
      </c>
      <c r="S464" s="21">
        <v>0.22</v>
      </c>
      <c r="T464" s="16">
        <v>687.63</v>
      </c>
    </row>
    <row r="465" spans="1:20" x14ac:dyDescent="0.3">
      <c r="A465" s="5" t="s">
        <v>483</v>
      </c>
      <c r="B465" s="12">
        <v>43608.492488425924</v>
      </c>
      <c r="C465" s="12">
        <v>43611.492492492493</v>
      </c>
      <c r="D465" s="6" t="s">
        <v>1023</v>
      </c>
      <c r="E465" s="6" t="s">
        <v>1103</v>
      </c>
      <c r="F465" s="6" t="s">
        <v>2277</v>
      </c>
      <c r="G465" s="6" t="s">
        <v>2406</v>
      </c>
      <c r="H465" s="6" t="s">
        <v>2409</v>
      </c>
      <c r="I465" s="6" t="s">
        <v>2413</v>
      </c>
      <c r="J465" s="15" t="s">
        <v>3895</v>
      </c>
      <c r="K465" s="15">
        <v>26055</v>
      </c>
      <c r="L465" s="6" t="s">
        <v>2419</v>
      </c>
      <c r="M465" s="6" t="s">
        <v>2874</v>
      </c>
      <c r="N465" s="6" t="s">
        <v>3372</v>
      </c>
      <c r="O465" s="6" t="s">
        <v>3378</v>
      </c>
      <c r="P465" s="6" t="s">
        <v>3436</v>
      </c>
      <c r="Q465" s="6">
        <v>2588.58</v>
      </c>
      <c r="R465" s="15">
        <v>10</v>
      </c>
      <c r="S465" s="20">
        <v>0.71</v>
      </c>
      <c r="T465" s="15">
        <v>1425.98</v>
      </c>
    </row>
    <row r="466" spans="1:20" x14ac:dyDescent="0.3">
      <c r="A466" s="7" t="s">
        <v>484</v>
      </c>
      <c r="B466" s="13">
        <v>43609.588587962964</v>
      </c>
      <c r="C466" s="13">
        <v>43614.588588588587</v>
      </c>
      <c r="D466" s="8" t="s">
        <v>1022</v>
      </c>
      <c r="E466" s="8" t="s">
        <v>1470</v>
      </c>
      <c r="F466" s="8" t="s">
        <v>2278</v>
      </c>
      <c r="G466" s="8" t="s">
        <v>2406</v>
      </c>
      <c r="H466" s="8" t="s">
        <v>2409</v>
      </c>
      <c r="I466" s="8" t="s">
        <v>2415</v>
      </c>
      <c r="J466" s="16" t="s">
        <v>3898</v>
      </c>
      <c r="K466" s="16">
        <v>74640</v>
      </c>
      <c r="L466" s="8" t="s">
        <v>2419</v>
      </c>
      <c r="M466" s="8" t="s">
        <v>2875</v>
      </c>
      <c r="N466" s="8" t="s">
        <v>3373</v>
      </c>
      <c r="O466" s="8" t="s">
        <v>3380</v>
      </c>
      <c r="P466" s="8" t="s">
        <v>3667</v>
      </c>
      <c r="Q466" s="8">
        <v>1418.25</v>
      </c>
      <c r="R466" s="16">
        <v>6</v>
      </c>
      <c r="S466" s="21">
        <v>0.33</v>
      </c>
      <c r="T466" s="16">
        <v>240.03</v>
      </c>
    </row>
    <row r="467" spans="1:20" x14ac:dyDescent="0.3">
      <c r="A467" s="5" t="s">
        <v>485</v>
      </c>
      <c r="B467" s="12">
        <v>43610.684687499997</v>
      </c>
      <c r="C467" s="12">
        <v>43614.684684684667</v>
      </c>
      <c r="D467" s="6" t="s">
        <v>1020</v>
      </c>
      <c r="E467" s="6" t="s">
        <v>1471</v>
      </c>
      <c r="F467" s="6" t="s">
        <v>2064</v>
      </c>
      <c r="G467" s="6" t="s">
        <v>2408</v>
      </c>
      <c r="H467" s="6" t="s">
        <v>2409</v>
      </c>
      <c r="I467" s="6" t="s">
        <v>2416</v>
      </c>
      <c r="J467" s="15" t="s">
        <v>3892</v>
      </c>
      <c r="K467" s="15">
        <v>38918</v>
      </c>
      <c r="L467" s="6" t="s">
        <v>2421</v>
      </c>
      <c r="M467" s="6" t="s">
        <v>2876</v>
      </c>
      <c r="N467" s="6" t="s">
        <v>3371</v>
      </c>
      <c r="O467" s="6" t="s">
        <v>3374</v>
      </c>
      <c r="P467" s="6" t="s">
        <v>3710</v>
      </c>
      <c r="Q467" s="6">
        <v>1196.3</v>
      </c>
      <c r="R467" s="15">
        <v>3</v>
      </c>
      <c r="S467" s="20">
        <v>0.86</v>
      </c>
      <c r="T467" s="15">
        <v>159.96</v>
      </c>
    </row>
    <row r="468" spans="1:20" x14ac:dyDescent="0.3">
      <c r="A468" s="7" t="s">
        <v>486</v>
      </c>
      <c r="B468" s="13">
        <v>43611.780775462961</v>
      </c>
      <c r="C468" s="13">
        <v>43612.780780780777</v>
      </c>
      <c r="D468" s="8" t="s">
        <v>1023</v>
      </c>
      <c r="E468" s="8" t="s">
        <v>1472</v>
      </c>
      <c r="F468" s="8" t="s">
        <v>2278</v>
      </c>
      <c r="G468" s="8" t="s">
        <v>2407</v>
      </c>
      <c r="H468" s="8" t="s">
        <v>2409</v>
      </c>
      <c r="I468" s="8" t="s">
        <v>2413</v>
      </c>
      <c r="J468" s="16" t="s">
        <v>3895</v>
      </c>
      <c r="K468" s="16">
        <v>67082</v>
      </c>
      <c r="L468" s="8" t="s">
        <v>2419</v>
      </c>
      <c r="M468" s="8" t="s">
        <v>2678</v>
      </c>
      <c r="N468" s="8" t="s">
        <v>3373</v>
      </c>
      <c r="O468" s="8" t="s">
        <v>3385</v>
      </c>
      <c r="P468" s="8" t="s">
        <v>3711</v>
      </c>
      <c r="Q468" s="8">
        <v>1508.71</v>
      </c>
      <c r="R468" s="16">
        <v>11</v>
      </c>
      <c r="S468" s="21">
        <v>0.38</v>
      </c>
      <c r="T468" s="16">
        <v>-5.01</v>
      </c>
    </row>
    <row r="469" spans="1:20" x14ac:dyDescent="0.3">
      <c r="A469" s="5" t="s">
        <v>487</v>
      </c>
      <c r="B469" s="12">
        <v>43612.876875000002</v>
      </c>
      <c r="C469" s="12">
        <v>43617.876876876871</v>
      </c>
      <c r="D469" s="6" t="s">
        <v>1020</v>
      </c>
      <c r="E469" s="6" t="s">
        <v>1473</v>
      </c>
      <c r="F469" s="6" t="s">
        <v>2067</v>
      </c>
      <c r="G469" s="6" t="s">
        <v>2407</v>
      </c>
      <c r="H469" s="6" t="s">
        <v>2409</v>
      </c>
      <c r="I469" s="6" t="s">
        <v>2413</v>
      </c>
      <c r="J469" s="15" t="s">
        <v>3894</v>
      </c>
      <c r="K469" s="15">
        <v>97364</v>
      </c>
      <c r="L469" s="6" t="s">
        <v>2419</v>
      </c>
      <c r="M469" s="6" t="s">
        <v>2660</v>
      </c>
      <c r="N469" s="6" t="s">
        <v>3372</v>
      </c>
      <c r="O469" s="6" t="s">
        <v>3376</v>
      </c>
      <c r="P469" s="6" t="s">
        <v>3712</v>
      </c>
      <c r="Q469" s="6">
        <v>604.45000000000005</v>
      </c>
      <c r="R469" s="15">
        <v>4</v>
      </c>
      <c r="S469" s="20">
        <v>0.38</v>
      </c>
      <c r="T469" s="15">
        <v>332.68</v>
      </c>
    </row>
    <row r="470" spans="1:20" x14ac:dyDescent="0.3">
      <c r="A470" s="7" t="s">
        <v>488</v>
      </c>
      <c r="B470" s="13">
        <v>43613.972974537035</v>
      </c>
      <c r="C470" s="13">
        <v>43614.972972972973</v>
      </c>
      <c r="D470" s="8" t="s">
        <v>1020</v>
      </c>
      <c r="E470" s="8" t="s">
        <v>1474</v>
      </c>
      <c r="F470" s="8" t="s">
        <v>2273</v>
      </c>
      <c r="G470" s="8" t="s">
        <v>2408</v>
      </c>
      <c r="H470" s="8" t="s">
        <v>2409</v>
      </c>
      <c r="I470" s="8" t="s">
        <v>2416</v>
      </c>
      <c r="J470" s="16" t="s">
        <v>2410</v>
      </c>
      <c r="K470" s="16">
        <v>88301</v>
      </c>
      <c r="L470" s="8" t="s">
        <v>2419</v>
      </c>
      <c r="M470" s="8" t="s">
        <v>2877</v>
      </c>
      <c r="N470" s="8" t="s">
        <v>3371</v>
      </c>
      <c r="O470" s="8" t="s">
        <v>3375</v>
      </c>
      <c r="P470" s="8" t="s">
        <v>3469</v>
      </c>
      <c r="Q470" s="8">
        <v>799.12</v>
      </c>
      <c r="R470" s="16">
        <v>6</v>
      </c>
      <c r="S470" s="21">
        <v>0.43</v>
      </c>
      <c r="T470" s="16">
        <v>445.84</v>
      </c>
    </row>
    <row r="471" spans="1:20" x14ac:dyDescent="0.3">
      <c r="A471" s="5" t="s">
        <v>489</v>
      </c>
      <c r="B471" s="12">
        <v>43615.069074074076</v>
      </c>
      <c r="C471" s="12">
        <v>43621.069069069061</v>
      </c>
      <c r="D471" s="6" t="s">
        <v>1023</v>
      </c>
      <c r="E471" s="6" t="s">
        <v>1475</v>
      </c>
      <c r="F471" s="6" t="s">
        <v>2274</v>
      </c>
      <c r="G471" s="6" t="s">
        <v>2408</v>
      </c>
      <c r="H471" s="6" t="s">
        <v>2409</v>
      </c>
      <c r="I471" s="6" t="s">
        <v>2411</v>
      </c>
      <c r="J471" s="15" t="s">
        <v>3892</v>
      </c>
      <c r="K471" s="15">
        <v>39933</v>
      </c>
      <c r="L471" s="6" t="s">
        <v>2421</v>
      </c>
      <c r="M471" s="6" t="s">
        <v>2878</v>
      </c>
      <c r="N471" s="6" t="s">
        <v>3372</v>
      </c>
      <c r="O471" s="6" t="s">
        <v>3377</v>
      </c>
      <c r="P471" s="6" t="s">
        <v>3713</v>
      </c>
      <c r="Q471" s="6">
        <v>2953.52</v>
      </c>
      <c r="R471" s="15">
        <v>4</v>
      </c>
      <c r="S471" s="20">
        <v>0.63</v>
      </c>
      <c r="T471" s="15">
        <v>1346.93</v>
      </c>
    </row>
    <row r="472" spans="1:20" x14ac:dyDescent="0.3">
      <c r="A472" s="7" t="s">
        <v>490</v>
      </c>
      <c r="B472" s="13">
        <v>43616.165162037039</v>
      </c>
      <c r="C472" s="13">
        <v>43618.165165165163</v>
      </c>
      <c r="D472" s="8" t="s">
        <v>1022</v>
      </c>
      <c r="E472" s="8" t="s">
        <v>1476</v>
      </c>
      <c r="F472" s="8" t="s">
        <v>2279</v>
      </c>
      <c r="G472" s="8" t="s">
        <v>2407</v>
      </c>
      <c r="H472" s="8" t="s">
        <v>2409</v>
      </c>
      <c r="I472" s="8" t="s">
        <v>2412</v>
      </c>
      <c r="J472" s="16" t="s">
        <v>3891</v>
      </c>
      <c r="K472" s="16">
        <v>11562</v>
      </c>
      <c r="L472" s="8" t="s">
        <v>2420</v>
      </c>
      <c r="M472" s="8" t="s">
        <v>2879</v>
      </c>
      <c r="N472" s="8" t="s">
        <v>3373</v>
      </c>
      <c r="O472" s="8" t="s">
        <v>3381</v>
      </c>
      <c r="P472" s="8" t="s">
        <v>3714</v>
      </c>
      <c r="Q472" s="8">
        <v>3979.22</v>
      </c>
      <c r="R472" s="16">
        <v>4</v>
      </c>
      <c r="S472" s="21">
        <v>0.01</v>
      </c>
      <c r="T472" s="16">
        <v>301.32</v>
      </c>
    </row>
    <row r="473" spans="1:20" x14ac:dyDescent="0.3">
      <c r="A473" s="5" t="s">
        <v>491</v>
      </c>
      <c r="B473" s="12">
        <v>43617.261261574073</v>
      </c>
      <c r="C473" s="12">
        <v>43618.26126126125</v>
      </c>
      <c r="D473" s="6" t="s">
        <v>1020</v>
      </c>
      <c r="E473" s="6" t="s">
        <v>1477</v>
      </c>
      <c r="F473" s="6" t="s">
        <v>2215</v>
      </c>
      <c r="G473" s="6" t="s">
        <v>2407</v>
      </c>
      <c r="H473" s="6" t="s">
        <v>2409</v>
      </c>
      <c r="I473" s="6" t="s">
        <v>2414</v>
      </c>
      <c r="J473" s="15" t="s">
        <v>3891</v>
      </c>
      <c r="K473" s="15">
        <v>31428</v>
      </c>
      <c r="L473" s="6" t="s">
        <v>2419</v>
      </c>
      <c r="M473" s="6" t="s">
        <v>2880</v>
      </c>
      <c r="N473" s="6" t="s">
        <v>3372</v>
      </c>
      <c r="O473" s="6" t="s">
        <v>3384</v>
      </c>
      <c r="P473" s="6" t="s">
        <v>3715</v>
      </c>
      <c r="Q473" s="6">
        <v>3914.66</v>
      </c>
      <c r="R473" s="15">
        <v>10</v>
      </c>
      <c r="S473" s="20">
        <v>0.2</v>
      </c>
      <c r="T473" s="15">
        <v>1017.55</v>
      </c>
    </row>
    <row r="474" spans="1:20" x14ac:dyDescent="0.3">
      <c r="A474" s="7" t="s">
        <v>492</v>
      </c>
      <c r="B474" s="13">
        <v>43618.357361111113</v>
      </c>
      <c r="C474" s="13">
        <v>43622.357357357352</v>
      </c>
      <c r="D474" s="8" t="s">
        <v>1021</v>
      </c>
      <c r="E474" s="8" t="s">
        <v>1478</v>
      </c>
      <c r="F474" s="8" t="s">
        <v>2058</v>
      </c>
      <c r="G474" s="8" t="s">
        <v>2406</v>
      </c>
      <c r="H474" s="8" t="s">
        <v>2409</v>
      </c>
      <c r="I474" s="8" t="s">
        <v>2415</v>
      </c>
      <c r="J474" s="16" t="s">
        <v>3896</v>
      </c>
      <c r="K474" s="16">
        <v>22185</v>
      </c>
      <c r="L474" s="8" t="s">
        <v>2419</v>
      </c>
      <c r="M474" s="8" t="s">
        <v>2881</v>
      </c>
      <c r="N474" s="8" t="s">
        <v>3372</v>
      </c>
      <c r="O474" s="8" t="s">
        <v>3376</v>
      </c>
      <c r="P474" s="8" t="s">
        <v>3716</v>
      </c>
      <c r="Q474" s="8">
        <v>4003.7</v>
      </c>
      <c r="R474" s="16">
        <v>4</v>
      </c>
      <c r="S474" s="21">
        <v>0.77</v>
      </c>
      <c r="T474" s="16">
        <v>1573.05</v>
      </c>
    </row>
    <row r="475" spans="1:20" x14ac:dyDescent="0.3">
      <c r="A475" s="5" t="s">
        <v>493</v>
      </c>
      <c r="B475" s="12">
        <v>43619.453449074077</v>
      </c>
      <c r="C475" s="12">
        <v>43624.453453453447</v>
      </c>
      <c r="D475" s="6" t="s">
        <v>1022</v>
      </c>
      <c r="E475" s="6" t="s">
        <v>1479</v>
      </c>
      <c r="F475" s="6" t="s">
        <v>2023</v>
      </c>
      <c r="G475" s="6" t="s">
        <v>2407</v>
      </c>
      <c r="H475" s="6" t="s">
        <v>2409</v>
      </c>
      <c r="I475" s="6" t="s">
        <v>2411</v>
      </c>
      <c r="J475" s="15" t="s">
        <v>3894</v>
      </c>
      <c r="K475" s="15">
        <v>12161</v>
      </c>
      <c r="L475" s="6" t="s">
        <v>2420</v>
      </c>
      <c r="M475" s="6" t="s">
        <v>2882</v>
      </c>
      <c r="N475" s="6" t="s">
        <v>3373</v>
      </c>
      <c r="O475" s="6" t="s">
        <v>3381</v>
      </c>
      <c r="P475" s="6" t="s">
        <v>3675</v>
      </c>
      <c r="Q475" s="6">
        <v>1538.95</v>
      </c>
      <c r="R475" s="15">
        <v>9</v>
      </c>
      <c r="S475" s="20">
        <v>0.5</v>
      </c>
      <c r="T475" s="15">
        <v>799.76</v>
      </c>
    </row>
    <row r="476" spans="1:20" x14ac:dyDescent="0.3">
      <c r="A476" s="7" t="s">
        <v>494</v>
      </c>
      <c r="B476" s="13">
        <v>43620.54954861111</v>
      </c>
      <c r="C476" s="13">
        <v>43626.549549549549</v>
      </c>
      <c r="D476" s="8" t="s">
        <v>1022</v>
      </c>
      <c r="E476" s="8" t="s">
        <v>1480</v>
      </c>
      <c r="F476" s="8" t="s">
        <v>2058</v>
      </c>
      <c r="G476" s="8" t="s">
        <v>2408</v>
      </c>
      <c r="H476" s="8" t="s">
        <v>2409</v>
      </c>
      <c r="I476" s="8" t="s">
        <v>2410</v>
      </c>
      <c r="J476" s="16" t="s">
        <v>3895</v>
      </c>
      <c r="K476" s="16">
        <v>26401</v>
      </c>
      <c r="L476" s="8" t="s">
        <v>2420</v>
      </c>
      <c r="M476" s="8" t="s">
        <v>2883</v>
      </c>
      <c r="N476" s="8" t="s">
        <v>3371</v>
      </c>
      <c r="O476" s="8" t="s">
        <v>3383</v>
      </c>
      <c r="P476" s="8" t="s">
        <v>3717</v>
      </c>
      <c r="Q476" s="8">
        <v>3865.92</v>
      </c>
      <c r="R476" s="16">
        <v>13</v>
      </c>
      <c r="S476" s="21">
        <v>0.57999999999999996</v>
      </c>
      <c r="T476" s="16">
        <v>2265.58</v>
      </c>
    </row>
    <row r="477" spans="1:20" x14ac:dyDescent="0.3">
      <c r="A477" s="5" t="s">
        <v>495</v>
      </c>
      <c r="B477" s="12">
        <v>43621.645648148151</v>
      </c>
      <c r="C477" s="12">
        <v>43622.645645645644</v>
      </c>
      <c r="D477" s="6" t="s">
        <v>1021</v>
      </c>
      <c r="E477" s="6" t="s">
        <v>1481</v>
      </c>
      <c r="F477" s="6" t="s">
        <v>1996</v>
      </c>
      <c r="G477" s="6" t="s">
        <v>2406</v>
      </c>
      <c r="H477" s="6" t="s">
        <v>2409</v>
      </c>
      <c r="I477" s="6" t="s">
        <v>2411</v>
      </c>
      <c r="J477" s="15" t="s">
        <v>3895</v>
      </c>
      <c r="K477" s="15">
        <v>77544</v>
      </c>
      <c r="L477" s="6" t="s">
        <v>2421</v>
      </c>
      <c r="M477" s="6" t="s">
        <v>2884</v>
      </c>
      <c r="N477" s="6" t="s">
        <v>3372</v>
      </c>
      <c r="O477" s="6" t="s">
        <v>3377</v>
      </c>
      <c r="P477" s="6" t="s">
        <v>3718</v>
      </c>
      <c r="Q477" s="6">
        <v>1843.01</v>
      </c>
      <c r="R477" s="15">
        <v>4</v>
      </c>
      <c r="S477" s="20">
        <v>0.04</v>
      </c>
      <c r="T477" s="15">
        <v>606.46</v>
      </c>
    </row>
    <row r="478" spans="1:20" x14ac:dyDescent="0.3">
      <c r="A478" s="7" t="s">
        <v>496</v>
      </c>
      <c r="B478" s="13">
        <v>43622.741736111115</v>
      </c>
      <c r="C478" s="13">
        <v>43625.741741741738</v>
      </c>
      <c r="D478" s="8" t="s">
        <v>1023</v>
      </c>
      <c r="E478" s="8" t="s">
        <v>1482</v>
      </c>
      <c r="F478" s="8" t="s">
        <v>2043</v>
      </c>
      <c r="G478" s="8" t="s">
        <v>2408</v>
      </c>
      <c r="H478" s="8" t="s">
        <v>2409</v>
      </c>
      <c r="I478" s="8" t="s">
        <v>2415</v>
      </c>
      <c r="J478" s="16" t="s">
        <v>3893</v>
      </c>
      <c r="K478" s="16">
        <v>35587</v>
      </c>
      <c r="L478" s="8" t="s">
        <v>2422</v>
      </c>
      <c r="M478" s="8" t="s">
        <v>2885</v>
      </c>
      <c r="N478" s="8" t="s">
        <v>3371</v>
      </c>
      <c r="O478" s="8" t="s">
        <v>3374</v>
      </c>
      <c r="P478" s="8" t="s">
        <v>3719</v>
      </c>
      <c r="Q478" s="8">
        <v>2568.48</v>
      </c>
      <c r="R478" s="16">
        <v>7</v>
      </c>
      <c r="S478" s="21">
        <v>0.84</v>
      </c>
      <c r="T478" s="16">
        <v>-32.96</v>
      </c>
    </row>
    <row r="479" spans="1:20" x14ac:dyDescent="0.3">
      <c r="A479" s="5" t="s">
        <v>497</v>
      </c>
      <c r="B479" s="12">
        <v>43623.837835648148</v>
      </c>
      <c r="C479" s="12">
        <v>43628.837837837833</v>
      </c>
      <c r="D479" s="6" t="s">
        <v>1021</v>
      </c>
      <c r="E479" s="6" t="s">
        <v>1483</v>
      </c>
      <c r="F479" s="6" t="s">
        <v>2154</v>
      </c>
      <c r="G479" s="6" t="s">
        <v>2406</v>
      </c>
      <c r="H479" s="6" t="s">
        <v>2409</v>
      </c>
      <c r="I479" s="6" t="s">
        <v>2410</v>
      </c>
      <c r="J479" s="15" t="s">
        <v>3898</v>
      </c>
      <c r="K479" s="15">
        <v>27314</v>
      </c>
      <c r="L479" s="6" t="s">
        <v>2419</v>
      </c>
      <c r="M479" s="6" t="s">
        <v>2886</v>
      </c>
      <c r="N479" s="6" t="s">
        <v>3373</v>
      </c>
      <c r="O479" s="6" t="s">
        <v>3379</v>
      </c>
      <c r="P479" s="6" t="s">
        <v>3720</v>
      </c>
      <c r="Q479" s="6">
        <v>1382.79</v>
      </c>
      <c r="R479" s="15">
        <v>7</v>
      </c>
      <c r="S479" s="20">
        <v>0.11</v>
      </c>
      <c r="T479" s="15">
        <v>192.95</v>
      </c>
    </row>
    <row r="480" spans="1:20" x14ac:dyDescent="0.3">
      <c r="A480" s="7" t="s">
        <v>498</v>
      </c>
      <c r="B480" s="13">
        <v>43624.933935185189</v>
      </c>
      <c r="C480" s="13">
        <v>43627.93393393392</v>
      </c>
      <c r="D480" s="8" t="s">
        <v>1022</v>
      </c>
      <c r="E480" s="8" t="s">
        <v>1484</v>
      </c>
      <c r="F480" s="8" t="s">
        <v>2074</v>
      </c>
      <c r="G480" s="8" t="s">
        <v>2406</v>
      </c>
      <c r="H480" s="8" t="s">
        <v>2409</v>
      </c>
      <c r="I480" s="8" t="s">
        <v>2416</v>
      </c>
      <c r="J480" s="16" t="s">
        <v>3893</v>
      </c>
      <c r="K480" s="16">
        <v>39991</v>
      </c>
      <c r="L480" s="8" t="s">
        <v>2421</v>
      </c>
      <c r="M480" s="8" t="s">
        <v>2887</v>
      </c>
      <c r="N480" s="8" t="s">
        <v>3372</v>
      </c>
      <c r="O480" s="8" t="s">
        <v>3378</v>
      </c>
      <c r="P480" s="8" t="s">
        <v>3721</v>
      </c>
      <c r="Q480" s="8">
        <v>2447.4</v>
      </c>
      <c r="R480" s="16">
        <v>10</v>
      </c>
      <c r="S480" s="21">
        <v>0.52</v>
      </c>
      <c r="T480" s="16">
        <v>358.92</v>
      </c>
    </row>
    <row r="481" spans="1:20" x14ac:dyDescent="0.3">
      <c r="A481" s="5" t="s">
        <v>499</v>
      </c>
      <c r="B481" s="12">
        <v>43626.030034722222</v>
      </c>
      <c r="C481" s="12">
        <v>43627.030030030022</v>
      </c>
      <c r="D481" s="6" t="s">
        <v>1020</v>
      </c>
      <c r="E481" s="6" t="s">
        <v>1212</v>
      </c>
      <c r="F481" s="6" t="s">
        <v>2195</v>
      </c>
      <c r="G481" s="6" t="s">
        <v>2408</v>
      </c>
      <c r="H481" s="6" t="s">
        <v>2409</v>
      </c>
      <c r="I481" s="6" t="s">
        <v>2411</v>
      </c>
      <c r="J481" s="15" t="s">
        <v>3893</v>
      </c>
      <c r="K481" s="15">
        <v>18549</v>
      </c>
      <c r="L481" s="6" t="s">
        <v>2420</v>
      </c>
      <c r="M481" s="6" t="s">
        <v>2888</v>
      </c>
      <c r="N481" s="6" t="s">
        <v>3372</v>
      </c>
      <c r="O481" s="6" t="s">
        <v>3378</v>
      </c>
      <c r="P481" s="6" t="s">
        <v>3667</v>
      </c>
      <c r="Q481" s="6">
        <v>2060.3200000000002</v>
      </c>
      <c r="R481" s="15">
        <v>9</v>
      </c>
      <c r="S481" s="20">
        <v>0.84</v>
      </c>
      <c r="T481" s="15">
        <v>-222.29</v>
      </c>
    </row>
    <row r="482" spans="1:20" x14ac:dyDescent="0.3">
      <c r="A482" s="7" t="s">
        <v>500</v>
      </c>
      <c r="B482" s="13">
        <v>43627.126122685186</v>
      </c>
      <c r="C482" s="13">
        <v>43631.126126126117</v>
      </c>
      <c r="D482" s="8" t="s">
        <v>1022</v>
      </c>
      <c r="E482" s="8" t="s">
        <v>1485</v>
      </c>
      <c r="F482" s="8" t="s">
        <v>2116</v>
      </c>
      <c r="G482" s="8" t="s">
        <v>2408</v>
      </c>
      <c r="H482" s="8" t="s">
        <v>2409</v>
      </c>
      <c r="I482" s="8" t="s">
        <v>2410</v>
      </c>
      <c r="J482" s="16" t="s">
        <v>3892</v>
      </c>
      <c r="K482" s="16">
        <v>83792</v>
      </c>
      <c r="L482" s="8" t="s">
        <v>2422</v>
      </c>
      <c r="M482" s="8" t="s">
        <v>2889</v>
      </c>
      <c r="N482" s="8" t="s">
        <v>3373</v>
      </c>
      <c r="O482" s="8" t="s">
        <v>3379</v>
      </c>
      <c r="P482" s="8" t="s">
        <v>3722</v>
      </c>
      <c r="Q482" s="8">
        <v>1627.46</v>
      </c>
      <c r="R482" s="16">
        <v>3</v>
      </c>
      <c r="S482" s="21">
        <v>0.73</v>
      </c>
      <c r="T482" s="16">
        <v>976.45</v>
      </c>
    </row>
    <row r="483" spans="1:20" x14ac:dyDescent="0.3">
      <c r="A483" s="5" t="s">
        <v>501</v>
      </c>
      <c r="B483" s="12">
        <v>43628.222222222219</v>
      </c>
      <c r="C483" s="12">
        <v>43633.222222222219</v>
      </c>
      <c r="D483" s="6" t="s">
        <v>1022</v>
      </c>
      <c r="E483" s="6" t="s">
        <v>1486</v>
      </c>
      <c r="F483" s="6" t="s">
        <v>2038</v>
      </c>
      <c r="G483" s="6" t="s">
        <v>2407</v>
      </c>
      <c r="H483" s="6" t="s">
        <v>2409</v>
      </c>
      <c r="I483" s="6" t="s">
        <v>2413</v>
      </c>
      <c r="J483" s="15" t="s">
        <v>3895</v>
      </c>
      <c r="K483" s="15">
        <v>45351</v>
      </c>
      <c r="L483" s="6" t="s">
        <v>2421</v>
      </c>
      <c r="M483" s="6" t="s">
        <v>2890</v>
      </c>
      <c r="N483" s="6" t="s">
        <v>3372</v>
      </c>
      <c r="O483" s="6" t="s">
        <v>3376</v>
      </c>
      <c r="P483" s="6" t="s">
        <v>3624</v>
      </c>
      <c r="Q483" s="6">
        <v>2278.63</v>
      </c>
      <c r="R483" s="15">
        <v>9</v>
      </c>
      <c r="S483" s="20">
        <v>0.79</v>
      </c>
      <c r="T483" s="15">
        <v>1062.9100000000001</v>
      </c>
    </row>
    <row r="484" spans="1:20" x14ac:dyDescent="0.3">
      <c r="A484" s="7" t="s">
        <v>502</v>
      </c>
      <c r="B484" s="13">
        <v>43629.31832175926</v>
      </c>
      <c r="C484" s="13">
        <v>43630.318318318306</v>
      </c>
      <c r="D484" s="8" t="s">
        <v>1021</v>
      </c>
      <c r="E484" s="8" t="s">
        <v>1487</v>
      </c>
      <c r="F484" s="8" t="s">
        <v>2042</v>
      </c>
      <c r="G484" s="8" t="s">
        <v>2408</v>
      </c>
      <c r="H484" s="8" t="s">
        <v>2409</v>
      </c>
      <c r="I484" s="8" t="s">
        <v>2414</v>
      </c>
      <c r="J484" s="16" t="s">
        <v>3897</v>
      </c>
      <c r="K484" s="16">
        <v>97271</v>
      </c>
      <c r="L484" s="8" t="s">
        <v>2422</v>
      </c>
      <c r="M484" s="8" t="s">
        <v>2891</v>
      </c>
      <c r="N484" s="8" t="s">
        <v>3373</v>
      </c>
      <c r="O484" s="8" t="s">
        <v>3379</v>
      </c>
      <c r="P484" s="8" t="s">
        <v>3723</v>
      </c>
      <c r="Q484" s="8">
        <v>3354.63</v>
      </c>
      <c r="R484" s="16">
        <v>8</v>
      </c>
      <c r="S484" s="21">
        <v>0.09</v>
      </c>
      <c r="T484" s="16">
        <v>1613.64</v>
      </c>
    </row>
    <row r="485" spans="1:20" x14ac:dyDescent="0.3">
      <c r="A485" s="5" t="s">
        <v>503</v>
      </c>
      <c r="B485" s="12">
        <v>43630.414409722223</v>
      </c>
      <c r="C485" s="12">
        <v>43631.414414414408</v>
      </c>
      <c r="D485" s="6" t="s">
        <v>1022</v>
      </c>
      <c r="E485" s="6" t="s">
        <v>1488</v>
      </c>
      <c r="F485" s="6" t="s">
        <v>2093</v>
      </c>
      <c r="G485" s="6" t="s">
        <v>2407</v>
      </c>
      <c r="H485" s="6" t="s">
        <v>2409</v>
      </c>
      <c r="I485" s="6" t="s">
        <v>2414</v>
      </c>
      <c r="J485" s="15" t="s">
        <v>3894</v>
      </c>
      <c r="K485" s="15">
        <v>86538</v>
      </c>
      <c r="L485" s="6" t="s">
        <v>2420</v>
      </c>
      <c r="M485" s="6" t="s">
        <v>2598</v>
      </c>
      <c r="N485" s="6" t="s">
        <v>3372</v>
      </c>
      <c r="O485" s="6" t="s">
        <v>3384</v>
      </c>
      <c r="P485" s="6" t="s">
        <v>3494</v>
      </c>
      <c r="Q485" s="6">
        <v>2307.27</v>
      </c>
      <c r="R485" s="15">
        <v>4</v>
      </c>
      <c r="S485" s="20">
        <v>0.17</v>
      </c>
      <c r="T485" s="15">
        <v>538.29999999999995</v>
      </c>
    </row>
    <row r="486" spans="1:20" x14ac:dyDescent="0.3">
      <c r="A486" s="7" t="s">
        <v>504</v>
      </c>
      <c r="B486" s="13">
        <v>43631.510509259257</v>
      </c>
      <c r="C486" s="13">
        <v>43636.51051051051</v>
      </c>
      <c r="D486" s="8" t="s">
        <v>1023</v>
      </c>
      <c r="E486" s="8" t="s">
        <v>1489</v>
      </c>
      <c r="F486" s="8" t="s">
        <v>2280</v>
      </c>
      <c r="G486" s="8" t="s">
        <v>2408</v>
      </c>
      <c r="H486" s="8" t="s">
        <v>2409</v>
      </c>
      <c r="I486" s="8" t="s">
        <v>2413</v>
      </c>
      <c r="J486" s="16" t="s">
        <v>3898</v>
      </c>
      <c r="K486" s="16">
        <v>14283</v>
      </c>
      <c r="L486" s="8" t="s">
        <v>2420</v>
      </c>
      <c r="M486" s="8" t="s">
        <v>2892</v>
      </c>
      <c r="N486" s="8" t="s">
        <v>3371</v>
      </c>
      <c r="O486" s="8" t="s">
        <v>3374</v>
      </c>
      <c r="P486" s="8" t="s">
        <v>3593</v>
      </c>
      <c r="Q486" s="8">
        <v>1611.86</v>
      </c>
      <c r="R486" s="16">
        <v>14</v>
      </c>
      <c r="S486" s="21">
        <v>0.55000000000000004</v>
      </c>
      <c r="T486" s="16">
        <v>411.27</v>
      </c>
    </row>
    <row r="487" spans="1:20" x14ac:dyDescent="0.3">
      <c r="A487" s="5" t="s">
        <v>505</v>
      </c>
      <c r="B487" s="12">
        <v>43632.606608796297</v>
      </c>
      <c r="C487" s="12">
        <v>43633.606606606598</v>
      </c>
      <c r="D487" s="6" t="s">
        <v>1022</v>
      </c>
      <c r="E487" s="6" t="s">
        <v>1490</v>
      </c>
      <c r="F487" s="6" t="s">
        <v>2142</v>
      </c>
      <c r="G487" s="6" t="s">
        <v>2407</v>
      </c>
      <c r="H487" s="6" t="s">
        <v>2409</v>
      </c>
      <c r="I487" s="6" t="s">
        <v>2413</v>
      </c>
      <c r="J487" s="15" t="s">
        <v>3897</v>
      </c>
      <c r="K487" s="15">
        <v>51208</v>
      </c>
      <c r="L487" s="6" t="s">
        <v>2422</v>
      </c>
      <c r="M487" s="6" t="s">
        <v>2893</v>
      </c>
      <c r="N487" s="6" t="s">
        <v>3373</v>
      </c>
      <c r="O487" s="6" t="s">
        <v>3380</v>
      </c>
      <c r="P487" s="6" t="s">
        <v>3550</v>
      </c>
      <c r="Q487" s="6">
        <v>1652.73</v>
      </c>
      <c r="R487" s="15">
        <v>6</v>
      </c>
      <c r="S487" s="20">
        <v>0.12</v>
      </c>
      <c r="T487" s="15">
        <v>183.61</v>
      </c>
    </row>
    <row r="488" spans="1:20" x14ac:dyDescent="0.3">
      <c r="A488" s="7" t="s">
        <v>506</v>
      </c>
      <c r="B488" s="13">
        <v>43633.702708333331</v>
      </c>
      <c r="C488" s="13">
        <v>43639.7027027027</v>
      </c>
      <c r="D488" s="8" t="s">
        <v>1021</v>
      </c>
      <c r="E488" s="8" t="s">
        <v>1491</v>
      </c>
      <c r="F488" s="8" t="s">
        <v>2152</v>
      </c>
      <c r="G488" s="8" t="s">
        <v>2406</v>
      </c>
      <c r="H488" s="8" t="s">
        <v>2409</v>
      </c>
      <c r="I488" s="8" t="s">
        <v>2414</v>
      </c>
      <c r="J488" s="16" t="s">
        <v>3893</v>
      </c>
      <c r="K488" s="16">
        <v>53601</v>
      </c>
      <c r="L488" s="8" t="s">
        <v>2419</v>
      </c>
      <c r="M488" s="8" t="s">
        <v>2894</v>
      </c>
      <c r="N488" s="8" t="s">
        <v>3372</v>
      </c>
      <c r="O488" s="8" t="s">
        <v>3378</v>
      </c>
      <c r="P488" s="8" t="s">
        <v>3595</v>
      </c>
      <c r="Q488" s="8">
        <v>3669.54</v>
      </c>
      <c r="R488" s="16">
        <v>6</v>
      </c>
      <c r="S488" s="21">
        <v>0.72</v>
      </c>
      <c r="T488" s="16">
        <v>1042.17</v>
      </c>
    </row>
    <row r="489" spans="1:20" x14ac:dyDescent="0.3">
      <c r="A489" s="5" t="s">
        <v>507</v>
      </c>
      <c r="B489" s="12">
        <v>43634.798796296294</v>
      </c>
      <c r="C489" s="12">
        <v>43635.798798798787</v>
      </c>
      <c r="D489" s="6" t="s">
        <v>1020</v>
      </c>
      <c r="E489" s="6" t="s">
        <v>1492</v>
      </c>
      <c r="F489" s="6" t="s">
        <v>2281</v>
      </c>
      <c r="G489" s="6" t="s">
        <v>2406</v>
      </c>
      <c r="H489" s="6" t="s">
        <v>2409</v>
      </c>
      <c r="I489" s="6" t="s">
        <v>2412</v>
      </c>
      <c r="J489" s="15" t="s">
        <v>2410</v>
      </c>
      <c r="K489" s="15">
        <v>66181</v>
      </c>
      <c r="L489" s="6" t="s">
        <v>2421</v>
      </c>
      <c r="M489" s="6" t="s">
        <v>2895</v>
      </c>
      <c r="N489" s="6" t="s">
        <v>3371</v>
      </c>
      <c r="O489" s="6" t="s">
        <v>3374</v>
      </c>
      <c r="P489" s="6" t="s">
        <v>3724</v>
      </c>
      <c r="Q489" s="6">
        <v>4785.55</v>
      </c>
      <c r="R489" s="15">
        <v>3</v>
      </c>
      <c r="S489" s="20">
        <v>7.0000000000000007E-2</v>
      </c>
      <c r="T489" s="15">
        <v>2394.42</v>
      </c>
    </row>
    <row r="490" spans="1:20" x14ac:dyDescent="0.3">
      <c r="A490" s="7" t="s">
        <v>508</v>
      </c>
      <c r="B490" s="13">
        <v>43635.894895833335</v>
      </c>
      <c r="C490" s="13">
        <v>43636.894894894882</v>
      </c>
      <c r="D490" s="8" t="s">
        <v>1021</v>
      </c>
      <c r="E490" s="8" t="s">
        <v>1493</v>
      </c>
      <c r="F490" s="8" t="s">
        <v>2066</v>
      </c>
      <c r="G490" s="8" t="s">
        <v>2406</v>
      </c>
      <c r="H490" s="8" t="s">
        <v>2409</v>
      </c>
      <c r="I490" s="8" t="s">
        <v>2413</v>
      </c>
      <c r="J490" s="16" t="s">
        <v>3896</v>
      </c>
      <c r="K490" s="16">
        <v>27863</v>
      </c>
      <c r="L490" s="8" t="s">
        <v>2419</v>
      </c>
      <c r="M490" s="8" t="s">
        <v>2896</v>
      </c>
      <c r="N490" s="8" t="s">
        <v>3373</v>
      </c>
      <c r="O490" s="8" t="s">
        <v>3380</v>
      </c>
      <c r="P490" s="8" t="s">
        <v>3712</v>
      </c>
      <c r="Q490" s="8">
        <v>3858.74</v>
      </c>
      <c r="R490" s="16">
        <v>13</v>
      </c>
      <c r="S490" s="21">
        <v>0.53</v>
      </c>
      <c r="T490" s="16">
        <v>303.2</v>
      </c>
    </row>
    <row r="491" spans="1:20" x14ac:dyDescent="0.3">
      <c r="A491" s="5" t="s">
        <v>509</v>
      </c>
      <c r="B491" s="12">
        <v>43636.990995370368</v>
      </c>
      <c r="C491" s="12">
        <v>43641.990990990977</v>
      </c>
      <c r="D491" s="6" t="s">
        <v>1022</v>
      </c>
      <c r="E491" s="6" t="s">
        <v>1494</v>
      </c>
      <c r="F491" s="6" t="s">
        <v>2070</v>
      </c>
      <c r="G491" s="6" t="s">
        <v>2408</v>
      </c>
      <c r="H491" s="6" t="s">
        <v>2409</v>
      </c>
      <c r="I491" s="6" t="s">
        <v>2413</v>
      </c>
      <c r="J491" s="15" t="s">
        <v>3894</v>
      </c>
      <c r="K491" s="15">
        <v>94247</v>
      </c>
      <c r="L491" s="6" t="s">
        <v>2419</v>
      </c>
      <c r="M491" s="6" t="s">
        <v>2897</v>
      </c>
      <c r="N491" s="6" t="s">
        <v>3372</v>
      </c>
      <c r="O491" s="6" t="s">
        <v>3376</v>
      </c>
      <c r="P491" s="6" t="s">
        <v>3725</v>
      </c>
      <c r="Q491" s="6">
        <v>2629.8</v>
      </c>
      <c r="R491" s="15">
        <v>3</v>
      </c>
      <c r="S491" s="20">
        <v>0.68</v>
      </c>
      <c r="T491" s="15">
        <v>1217.45</v>
      </c>
    </row>
    <row r="492" spans="1:20" x14ac:dyDescent="0.3">
      <c r="A492" s="7" t="s">
        <v>510</v>
      </c>
      <c r="B492" s="13">
        <v>43638.087083333332</v>
      </c>
      <c r="C492" s="13">
        <v>43644.087087087093</v>
      </c>
      <c r="D492" s="8" t="s">
        <v>1021</v>
      </c>
      <c r="E492" s="8" t="s">
        <v>1495</v>
      </c>
      <c r="F492" s="8" t="s">
        <v>2121</v>
      </c>
      <c r="G492" s="8" t="s">
        <v>2408</v>
      </c>
      <c r="H492" s="8" t="s">
        <v>2409</v>
      </c>
      <c r="I492" s="8" t="s">
        <v>2412</v>
      </c>
      <c r="J492" s="16" t="s">
        <v>3891</v>
      </c>
      <c r="K492" s="16">
        <v>59593</v>
      </c>
      <c r="L492" s="8" t="s">
        <v>2420</v>
      </c>
      <c r="M492" s="8" t="s">
        <v>2898</v>
      </c>
      <c r="N492" s="8" t="s">
        <v>3372</v>
      </c>
      <c r="O492" s="8" t="s">
        <v>3384</v>
      </c>
      <c r="P492" s="8" t="s">
        <v>3681</v>
      </c>
      <c r="Q492" s="8">
        <v>3117.45</v>
      </c>
      <c r="R492" s="16">
        <v>9</v>
      </c>
      <c r="S492" s="21">
        <v>0.79</v>
      </c>
      <c r="T492" s="16">
        <v>1298.8</v>
      </c>
    </row>
    <row r="493" spans="1:20" x14ac:dyDescent="0.3">
      <c r="A493" s="5" t="s">
        <v>511</v>
      </c>
      <c r="B493" s="12">
        <v>43639.183182870373</v>
      </c>
      <c r="C493" s="12">
        <v>43640.183183183181</v>
      </c>
      <c r="D493" s="6" t="s">
        <v>1020</v>
      </c>
      <c r="E493" s="6" t="s">
        <v>1496</v>
      </c>
      <c r="F493" s="6" t="s">
        <v>2006</v>
      </c>
      <c r="G493" s="6" t="s">
        <v>2407</v>
      </c>
      <c r="H493" s="6" t="s">
        <v>2409</v>
      </c>
      <c r="I493" s="6" t="s">
        <v>2417</v>
      </c>
      <c r="J493" s="15" t="s">
        <v>3891</v>
      </c>
      <c r="K493" s="15">
        <v>43636</v>
      </c>
      <c r="L493" s="6" t="s">
        <v>2421</v>
      </c>
      <c r="M493" s="6" t="s">
        <v>2899</v>
      </c>
      <c r="N493" s="6" t="s">
        <v>3372</v>
      </c>
      <c r="O493" s="6" t="s">
        <v>3376</v>
      </c>
      <c r="P493" s="6" t="s">
        <v>3726</v>
      </c>
      <c r="Q493" s="6">
        <v>3312.12</v>
      </c>
      <c r="R493" s="15">
        <v>4</v>
      </c>
      <c r="S493" s="20">
        <v>0.44</v>
      </c>
      <c r="T493" s="15">
        <v>1685.48</v>
      </c>
    </row>
    <row r="494" spans="1:20" x14ac:dyDescent="0.3">
      <c r="A494" s="7" t="s">
        <v>512</v>
      </c>
      <c r="B494" s="13">
        <v>43640.279282407406</v>
      </c>
      <c r="C494" s="13">
        <v>43642.279279279268</v>
      </c>
      <c r="D494" s="8" t="s">
        <v>1021</v>
      </c>
      <c r="E494" s="8" t="s">
        <v>1497</v>
      </c>
      <c r="F494" s="8" t="s">
        <v>2154</v>
      </c>
      <c r="G494" s="8" t="s">
        <v>2407</v>
      </c>
      <c r="H494" s="8" t="s">
        <v>2409</v>
      </c>
      <c r="I494" s="8" t="s">
        <v>2414</v>
      </c>
      <c r="J494" s="16" t="s">
        <v>3897</v>
      </c>
      <c r="K494" s="16">
        <v>67623</v>
      </c>
      <c r="L494" s="8" t="s">
        <v>2421</v>
      </c>
      <c r="M494" s="8" t="s">
        <v>2900</v>
      </c>
      <c r="N494" s="8" t="s">
        <v>3373</v>
      </c>
      <c r="O494" s="8" t="s">
        <v>3380</v>
      </c>
      <c r="P494" s="8" t="s">
        <v>3592</v>
      </c>
      <c r="Q494" s="8">
        <v>474.74</v>
      </c>
      <c r="R494" s="16">
        <v>3</v>
      </c>
      <c r="S494" s="21">
        <v>0.54</v>
      </c>
      <c r="T494" s="16">
        <v>266.35000000000002</v>
      </c>
    </row>
    <row r="495" spans="1:20" x14ac:dyDescent="0.3">
      <c r="A495" s="5" t="s">
        <v>513</v>
      </c>
      <c r="B495" s="12">
        <v>43641.37537037037</v>
      </c>
      <c r="C495" s="12">
        <v>43642.37537537537</v>
      </c>
      <c r="D495" s="6" t="s">
        <v>1023</v>
      </c>
      <c r="E495" s="6" t="s">
        <v>1498</v>
      </c>
      <c r="F495" s="6" t="s">
        <v>2282</v>
      </c>
      <c r="G495" s="6" t="s">
        <v>2406</v>
      </c>
      <c r="H495" s="6" t="s">
        <v>2409</v>
      </c>
      <c r="I495" s="6" t="s">
        <v>2411</v>
      </c>
      <c r="J495" s="15" t="s">
        <v>3892</v>
      </c>
      <c r="K495" s="15">
        <v>56891</v>
      </c>
      <c r="L495" s="6" t="s">
        <v>2421</v>
      </c>
      <c r="M495" s="6" t="s">
        <v>2901</v>
      </c>
      <c r="N495" s="6" t="s">
        <v>3371</v>
      </c>
      <c r="O495" s="6" t="s">
        <v>3375</v>
      </c>
      <c r="P495" s="6" t="s">
        <v>3501</v>
      </c>
      <c r="Q495" s="6">
        <v>981.01</v>
      </c>
      <c r="R495" s="15">
        <v>13</v>
      </c>
      <c r="S495" s="20">
        <v>0.09</v>
      </c>
      <c r="T495" s="15">
        <v>116.82</v>
      </c>
    </row>
    <row r="496" spans="1:20" x14ac:dyDescent="0.3">
      <c r="A496" s="7" t="s">
        <v>514</v>
      </c>
      <c r="B496" s="13">
        <v>43642.47146990741</v>
      </c>
      <c r="C496" s="13">
        <v>43643.471471471472</v>
      </c>
      <c r="D496" s="8" t="s">
        <v>1022</v>
      </c>
      <c r="E496" s="8" t="s">
        <v>1337</v>
      </c>
      <c r="F496" s="8" t="s">
        <v>2283</v>
      </c>
      <c r="G496" s="8" t="s">
        <v>2408</v>
      </c>
      <c r="H496" s="8" t="s">
        <v>2409</v>
      </c>
      <c r="I496" s="8" t="s">
        <v>2417</v>
      </c>
      <c r="J496" s="16" t="s">
        <v>3897</v>
      </c>
      <c r="K496" s="16">
        <v>28072</v>
      </c>
      <c r="L496" s="8" t="s">
        <v>2421</v>
      </c>
      <c r="M496" s="8" t="s">
        <v>2902</v>
      </c>
      <c r="N496" s="8" t="s">
        <v>3372</v>
      </c>
      <c r="O496" s="8" t="s">
        <v>3377</v>
      </c>
      <c r="P496" s="8" t="s">
        <v>3727</v>
      </c>
      <c r="Q496" s="8">
        <v>4210.0600000000004</v>
      </c>
      <c r="R496" s="16">
        <v>2</v>
      </c>
      <c r="S496" s="21">
        <v>0.49</v>
      </c>
      <c r="T496" s="16">
        <v>1065.69</v>
      </c>
    </row>
    <row r="497" spans="1:20" x14ac:dyDescent="0.3">
      <c r="A497" s="5" t="s">
        <v>515</v>
      </c>
      <c r="B497" s="12">
        <v>43643.567569444444</v>
      </c>
      <c r="C497" s="12">
        <v>43647.567567567559</v>
      </c>
      <c r="D497" s="6" t="s">
        <v>1023</v>
      </c>
      <c r="E497" s="6" t="s">
        <v>1499</v>
      </c>
      <c r="F497" s="6" t="s">
        <v>2033</v>
      </c>
      <c r="G497" s="6" t="s">
        <v>2406</v>
      </c>
      <c r="H497" s="6" t="s">
        <v>2409</v>
      </c>
      <c r="I497" s="6" t="s">
        <v>2416</v>
      </c>
      <c r="J497" s="15" t="s">
        <v>3891</v>
      </c>
      <c r="K497" s="15">
        <v>41457</v>
      </c>
      <c r="L497" s="6" t="s">
        <v>2419</v>
      </c>
      <c r="M497" s="6" t="s">
        <v>2903</v>
      </c>
      <c r="N497" s="6" t="s">
        <v>3372</v>
      </c>
      <c r="O497" s="6" t="s">
        <v>3384</v>
      </c>
      <c r="P497" s="6" t="s">
        <v>3728</v>
      </c>
      <c r="Q497" s="6">
        <v>202.66</v>
      </c>
      <c r="R497" s="15">
        <v>1</v>
      </c>
      <c r="S497" s="20">
        <v>0.37</v>
      </c>
      <c r="T497" s="15">
        <v>35.42</v>
      </c>
    </row>
    <row r="498" spans="1:20" x14ac:dyDescent="0.3">
      <c r="A498" s="7" t="s">
        <v>516</v>
      </c>
      <c r="B498" s="13">
        <v>43644.663668981484</v>
      </c>
      <c r="C498" s="13">
        <v>43649.663663663647</v>
      </c>
      <c r="D498" s="8" t="s">
        <v>1021</v>
      </c>
      <c r="E498" s="8" t="s">
        <v>1500</v>
      </c>
      <c r="F498" s="8" t="s">
        <v>2190</v>
      </c>
      <c r="G498" s="8" t="s">
        <v>2408</v>
      </c>
      <c r="H498" s="8" t="s">
        <v>2409</v>
      </c>
      <c r="I498" s="8" t="s">
        <v>2413</v>
      </c>
      <c r="J498" s="16" t="s">
        <v>3896</v>
      </c>
      <c r="K498" s="16">
        <v>62718</v>
      </c>
      <c r="L498" s="8" t="s">
        <v>2420</v>
      </c>
      <c r="M498" s="8" t="s">
        <v>2904</v>
      </c>
      <c r="N498" s="8" t="s">
        <v>3373</v>
      </c>
      <c r="O498" s="8" t="s">
        <v>3380</v>
      </c>
      <c r="P498" s="8" t="s">
        <v>3729</v>
      </c>
      <c r="Q498" s="8">
        <v>2530.08</v>
      </c>
      <c r="R498" s="16">
        <v>2</v>
      </c>
      <c r="S498" s="21">
        <v>0.56000000000000005</v>
      </c>
      <c r="T498" s="16">
        <v>1408.98</v>
      </c>
    </row>
    <row r="499" spans="1:20" x14ac:dyDescent="0.3">
      <c r="A499" s="5" t="s">
        <v>517</v>
      </c>
      <c r="B499" s="12">
        <v>43645.759756944448</v>
      </c>
      <c r="C499" s="12">
        <v>43649.759759759763</v>
      </c>
      <c r="D499" s="6" t="s">
        <v>1021</v>
      </c>
      <c r="E499" s="6" t="s">
        <v>1501</v>
      </c>
      <c r="F499" s="6" t="s">
        <v>2097</v>
      </c>
      <c r="G499" s="6" t="s">
        <v>2406</v>
      </c>
      <c r="H499" s="6" t="s">
        <v>2409</v>
      </c>
      <c r="I499" s="6" t="s">
        <v>2410</v>
      </c>
      <c r="J499" s="15" t="s">
        <v>3894</v>
      </c>
      <c r="K499" s="15">
        <v>44486</v>
      </c>
      <c r="L499" s="6" t="s">
        <v>2422</v>
      </c>
      <c r="M499" s="6" t="s">
        <v>2905</v>
      </c>
      <c r="N499" s="6" t="s">
        <v>3373</v>
      </c>
      <c r="O499" s="6" t="s">
        <v>3385</v>
      </c>
      <c r="P499" s="6" t="s">
        <v>3606</v>
      </c>
      <c r="Q499" s="6">
        <v>1540.39</v>
      </c>
      <c r="R499" s="15">
        <v>9</v>
      </c>
      <c r="S499" s="20">
        <v>0.34</v>
      </c>
      <c r="T499" s="15">
        <v>858.58</v>
      </c>
    </row>
    <row r="500" spans="1:20" x14ac:dyDescent="0.3">
      <c r="A500" s="7" t="s">
        <v>518</v>
      </c>
      <c r="B500" s="13">
        <v>43646.855856481481</v>
      </c>
      <c r="C500" s="13">
        <v>43649.855855855843</v>
      </c>
      <c r="D500" s="8" t="s">
        <v>1020</v>
      </c>
      <c r="E500" s="8" t="s">
        <v>1502</v>
      </c>
      <c r="F500" s="8" t="s">
        <v>2284</v>
      </c>
      <c r="G500" s="8" t="s">
        <v>2407</v>
      </c>
      <c r="H500" s="8" t="s">
        <v>2409</v>
      </c>
      <c r="I500" s="8" t="s">
        <v>2413</v>
      </c>
      <c r="J500" s="16" t="s">
        <v>3894</v>
      </c>
      <c r="K500" s="16">
        <v>93015</v>
      </c>
      <c r="L500" s="8" t="s">
        <v>2421</v>
      </c>
      <c r="M500" s="8" t="s">
        <v>2906</v>
      </c>
      <c r="N500" s="8" t="s">
        <v>3373</v>
      </c>
      <c r="O500" s="8" t="s">
        <v>3379</v>
      </c>
      <c r="P500" s="8" t="s">
        <v>3730</v>
      </c>
      <c r="Q500" s="8">
        <v>3269.43</v>
      </c>
      <c r="R500" s="16">
        <v>14</v>
      </c>
      <c r="S500" s="21">
        <v>0.24</v>
      </c>
      <c r="T500" s="16">
        <v>-625.71</v>
      </c>
    </row>
    <row r="501" spans="1:20" x14ac:dyDescent="0.3">
      <c r="A501" s="5" t="s">
        <v>519</v>
      </c>
      <c r="B501" s="12">
        <v>43647.951956018522</v>
      </c>
      <c r="C501" s="12">
        <v>43651.951951951953</v>
      </c>
      <c r="D501" s="6" t="s">
        <v>1020</v>
      </c>
      <c r="E501" s="6" t="s">
        <v>1503</v>
      </c>
      <c r="F501" s="6" t="s">
        <v>2074</v>
      </c>
      <c r="G501" s="6" t="s">
        <v>2406</v>
      </c>
      <c r="H501" s="6" t="s">
        <v>2409</v>
      </c>
      <c r="I501" s="6" t="s">
        <v>2417</v>
      </c>
      <c r="J501" s="15" t="s">
        <v>3894</v>
      </c>
      <c r="K501" s="15">
        <v>56659</v>
      </c>
      <c r="L501" s="6" t="s">
        <v>2419</v>
      </c>
      <c r="M501" s="6" t="s">
        <v>2907</v>
      </c>
      <c r="N501" s="6" t="s">
        <v>3372</v>
      </c>
      <c r="O501" s="6" t="s">
        <v>3378</v>
      </c>
      <c r="P501" s="6" t="s">
        <v>3731</v>
      </c>
      <c r="Q501" s="6">
        <v>4086.32</v>
      </c>
      <c r="R501" s="15">
        <v>10</v>
      </c>
      <c r="S501" s="20">
        <v>0.57999999999999996</v>
      </c>
      <c r="T501" s="15">
        <v>-639.34</v>
      </c>
    </row>
    <row r="502" spans="1:20" x14ac:dyDescent="0.3">
      <c r="A502" s="7" t="s">
        <v>520</v>
      </c>
      <c r="B502" s="13">
        <v>43649.048043981478</v>
      </c>
      <c r="C502" s="13">
        <v>43653.048048048047</v>
      </c>
      <c r="D502" s="8" t="s">
        <v>1020</v>
      </c>
      <c r="E502" s="8" t="s">
        <v>1504</v>
      </c>
      <c r="F502" s="8" t="s">
        <v>2285</v>
      </c>
      <c r="G502" s="8" t="s">
        <v>2407</v>
      </c>
      <c r="H502" s="8" t="s">
        <v>2409</v>
      </c>
      <c r="I502" s="8" t="s">
        <v>2417</v>
      </c>
      <c r="J502" s="16" t="s">
        <v>3892</v>
      </c>
      <c r="K502" s="16">
        <v>75240</v>
      </c>
      <c r="L502" s="8" t="s">
        <v>2420</v>
      </c>
      <c r="M502" s="8" t="s">
        <v>2908</v>
      </c>
      <c r="N502" s="8" t="s">
        <v>3373</v>
      </c>
      <c r="O502" s="8" t="s">
        <v>3380</v>
      </c>
      <c r="P502" s="8" t="s">
        <v>3635</v>
      </c>
      <c r="Q502" s="8">
        <v>4546.75</v>
      </c>
      <c r="R502" s="16">
        <v>3</v>
      </c>
      <c r="S502" s="21">
        <v>0.03</v>
      </c>
      <c r="T502" s="16">
        <v>-452.62</v>
      </c>
    </row>
    <row r="503" spans="1:20" x14ac:dyDescent="0.3">
      <c r="A503" s="5" t="s">
        <v>521</v>
      </c>
      <c r="B503" s="12">
        <v>43650.144143518519</v>
      </c>
      <c r="C503" s="12">
        <v>43656.144144144142</v>
      </c>
      <c r="D503" s="6" t="s">
        <v>1023</v>
      </c>
      <c r="E503" s="6" t="s">
        <v>1505</v>
      </c>
      <c r="F503" s="6" t="s">
        <v>2266</v>
      </c>
      <c r="G503" s="6" t="s">
        <v>2407</v>
      </c>
      <c r="H503" s="6" t="s">
        <v>2409</v>
      </c>
      <c r="I503" s="6" t="s">
        <v>2416</v>
      </c>
      <c r="J503" s="15" t="s">
        <v>3897</v>
      </c>
      <c r="K503" s="15">
        <v>30413</v>
      </c>
      <c r="L503" s="6" t="s">
        <v>2420</v>
      </c>
      <c r="M503" s="6" t="s">
        <v>2909</v>
      </c>
      <c r="N503" s="6" t="s">
        <v>3371</v>
      </c>
      <c r="O503" s="6" t="s">
        <v>3375</v>
      </c>
      <c r="P503" s="6" t="s">
        <v>3732</v>
      </c>
      <c r="Q503" s="6">
        <v>142.22999999999999</v>
      </c>
      <c r="R503" s="15">
        <v>8</v>
      </c>
      <c r="S503" s="20">
        <v>0.82</v>
      </c>
      <c r="T503" s="15">
        <v>-4.83</v>
      </c>
    </row>
    <row r="504" spans="1:20" x14ac:dyDescent="0.3">
      <c r="A504" s="7" t="s">
        <v>522</v>
      </c>
      <c r="B504" s="13">
        <v>43651.240243055552</v>
      </c>
      <c r="C504" s="13">
        <v>43654.240240240229</v>
      </c>
      <c r="D504" s="8" t="s">
        <v>1023</v>
      </c>
      <c r="E504" s="8" t="s">
        <v>1506</v>
      </c>
      <c r="F504" s="8" t="s">
        <v>2024</v>
      </c>
      <c r="G504" s="8" t="s">
        <v>2407</v>
      </c>
      <c r="H504" s="8" t="s">
        <v>2409</v>
      </c>
      <c r="I504" s="8" t="s">
        <v>2415</v>
      </c>
      <c r="J504" s="16" t="s">
        <v>3892</v>
      </c>
      <c r="K504" s="16">
        <v>17265</v>
      </c>
      <c r="L504" s="8" t="s">
        <v>2420</v>
      </c>
      <c r="M504" s="8" t="s">
        <v>2910</v>
      </c>
      <c r="N504" s="8" t="s">
        <v>3371</v>
      </c>
      <c r="O504" s="8" t="s">
        <v>3383</v>
      </c>
      <c r="P504" s="8" t="s">
        <v>3733</v>
      </c>
      <c r="Q504" s="8">
        <v>743.73</v>
      </c>
      <c r="R504" s="16">
        <v>14</v>
      </c>
      <c r="S504" s="21">
        <v>0.56999999999999995</v>
      </c>
      <c r="T504" s="16">
        <v>-41.65</v>
      </c>
    </row>
    <row r="505" spans="1:20" x14ac:dyDescent="0.3">
      <c r="A505" s="5" t="s">
        <v>523</v>
      </c>
      <c r="B505" s="12">
        <v>43652.336331018516</v>
      </c>
      <c r="C505" s="12">
        <v>43653.336336336331</v>
      </c>
      <c r="D505" s="6" t="s">
        <v>1021</v>
      </c>
      <c r="E505" s="6" t="s">
        <v>1507</v>
      </c>
      <c r="F505" s="6" t="s">
        <v>2286</v>
      </c>
      <c r="G505" s="6" t="s">
        <v>2407</v>
      </c>
      <c r="H505" s="6" t="s">
        <v>2409</v>
      </c>
      <c r="I505" s="6" t="s">
        <v>2416</v>
      </c>
      <c r="J505" s="15" t="s">
        <v>3891</v>
      </c>
      <c r="K505" s="15">
        <v>11588</v>
      </c>
      <c r="L505" s="6" t="s">
        <v>2419</v>
      </c>
      <c r="M505" s="6" t="s">
        <v>2911</v>
      </c>
      <c r="N505" s="6" t="s">
        <v>3373</v>
      </c>
      <c r="O505" s="6" t="s">
        <v>3380</v>
      </c>
      <c r="P505" s="6" t="s">
        <v>3731</v>
      </c>
      <c r="Q505" s="6">
        <v>3465.16</v>
      </c>
      <c r="R505" s="15">
        <v>11</v>
      </c>
      <c r="S505" s="20">
        <v>0.05</v>
      </c>
      <c r="T505" s="15">
        <v>246.64</v>
      </c>
    </row>
    <row r="506" spans="1:20" x14ac:dyDescent="0.3">
      <c r="A506" s="7" t="s">
        <v>524</v>
      </c>
      <c r="B506" s="13">
        <v>43653.432430555556</v>
      </c>
      <c r="C506" s="13">
        <v>43655.432432432433</v>
      </c>
      <c r="D506" s="8" t="s">
        <v>1022</v>
      </c>
      <c r="E506" s="8" t="s">
        <v>1508</v>
      </c>
      <c r="F506" s="8" t="s">
        <v>2009</v>
      </c>
      <c r="G506" s="8" t="s">
        <v>2407</v>
      </c>
      <c r="H506" s="8" t="s">
        <v>2409</v>
      </c>
      <c r="I506" s="8" t="s">
        <v>2418</v>
      </c>
      <c r="J506" s="16" t="s">
        <v>3892</v>
      </c>
      <c r="K506" s="16">
        <v>84496</v>
      </c>
      <c r="L506" s="8" t="s">
        <v>2420</v>
      </c>
      <c r="M506" s="8" t="s">
        <v>2912</v>
      </c>
      <c r="N506" s="8" t="s">
        <v>3372</v>
      </c>
      <c r="O506" s="8" t="s">
        <v>3384</v>
      </c>
      <c r="P506" s="8" t="s">
        <v>3487</v>
      </c>
      <c r="Q506" s="8">
        <v>2913.01</v>
      </c>
      <c r="R506" s="16">
        <v>4</v>
      </c>
      <c r="S506" s="21">
        <v>0.85</v>
      </c>
      <c r="T506" s="16">
        <v>1599.31</v>
      </c>
    </row>
    <row r="507" spans="1:20" x14ac:dyDescent="0.3">
      <c r="A507" s="5" t="s">
        <v>525</v>
      </c>
      <c r="B507" s="12">
        <v>43654.52853009259</v>
      </c>
      <c r="C507" s="12">
        <v>43656.528528528521</v>
      </c>
      <c r="D507" s="6" t="s">
        <v>1023</v>
      </c>
      <c r="E507" s="6" t="s">
        <v>1509</v>
      </c>
      <c r="F507" s="6" t="s">
        <v>2080</v>
      </c>
      <c r="G507" s="6" t="s">
        <v>2406</v>
      </c>
      <c r="H507" s="6" t="s">
        <v>2409</v>
      </c>
      <c r="I507" s="6" t="s">
        <v>2413</v>
      </c>
      <c r="J507" s="15" t="s">
        <v>3898</v>
      </c>
      <c r="K507" s="15">
        <v>44375</v>
      </c>
      <c r="L507" s="6" t="s">
        <v>2421</v>
      </c>
      <c r="M507" s="6" t="s">
        <v>2913</v>
      </c>
      <c r="N507" s="6" t="s">
        <v>3371</v>
      </c>
      <c r="O507" s="6" t="s">
        <v>3383</v>
      </c>
      <c r="P507" s="6" t="s">
        <v>3421</v>
      </c>
      <c r="Q507" s="6">
        <v>4493.25</v>
      </c>
      <c r="R507" s="15">
        <v>3</v>
      </c>
      <c r="S507" s="20">
        <v>0.26</v>
      </c>
      <c r="T507" s="15">
        <v>2220.7600000000002</v>
      </c>
    </row>
    <row r="508" spans="1:20" x14ac:dyDescent="0.3">
      <c r="A508" s="7" t="s">
        <v>526</v>
      </c>
      <c r="B508" s="13">
        <v>43655.62462962963</v>
      </c>
      <c r="C508" s="13">
        <v>43658.624624624623</v>
      </c>
      <c r="D508" s="8" t="s">
        <v>1021</v>
      </c>
      <c r="E508" s="8" t="s">
        <v>1510</v>
      </c>
      <c r="F508" s="8" t="s">
        <v>2124</v>
      </c>
      <c r="G508" s="8" t="s">
        <v>2406</v>
      </c>
      <c r="H508" s="8" t="s">
        <v>2409</v>
      </c>
      <c r="I508" s="8" t="s">
        <v>2418</v>
      </c>
      <c r="J508" s="16" t="s">
        <v>3897</v>
      </c>
      <c r="K508" s="16">
        <v>22632</v>
      </c>
      <c r="L508" s="8" t="s">
        <v>2420</v>
      </c>
      <c r="M508" s="8" t="s">
        <v>2914</v>
      </c>
      <c r="N508" s="8" t="s">
        <v>3371</v>
      </c>
      <c r="O508" s="8" t="s">
        <v>3382</v>
      </c>
      <c r="P508" s="8" t="s">
        <v>3734</v>
      </c>
      <c r="Q508" s="8">
        <v>3936.73</v>
      </c>
      <c r="R508" s="16">
        <v>12</v>
      </c>
      <c r="S508" s="21">
        <v>0.83</v>
      </c>
      <c r="T508" s="16">
        <v>-160.82</v>
      </c>
    </row>
    <row r="509" spans="1:20" x14ac:dyDescent="0.3">
      <c r="A509" s="5" t="s">
        <v>527</v>
      </c>
      <c r="B509" s="12">
        <v>43656.720717592594</v>
      </c>
      <c r="C509" s="12">
        <v>43659.720720720718</v>
      </c>
      <c r="D509" s="6" t="s">
        <v>1021</v>
      </c>
      <c r="E509" s="6" t="s">
        <v>1511</v>
      </c>
      <c r="F509" s="6" t="s">
        <v>2124</v>
      </c>
      <c r="G509" s="6" t="s">
        <v>2408</v>
      </c>
      <c r="H509" s="6" t="s">
        <v>2409</v>
      </c>
      <c r="I509" s="6" t="s">
        <v>2414</v>
      </c>
      <c r="J509" s="15" t="s">
        <v>3895</v>
      </c>
      <c r="K509" s="15">
        <v>72603</v>
      </c>
      <c r="L509" s="6" t="s">
        <v>2420</v>
      </c>
      <c r="M509" s="6" t="s">
        <v>2915</v>
      </c>
      <c r="N509" s="6" t="s">
        <v>3371</v>
      </c>
      <c r="O509" s="6" t="s">
        <v>3375</v>
      </c>
      <c r="P509" s="6" t="s">
        <v>3735</v>
      </c>
      <c r="Q509" s="6">
        <v>3005.18</v>
      </c>
      <c r="R509" s="15">
        <v>9</v>
      </c>
      <c r="S509" s="20">
        <v>0.7</v>
      </c>
      <c r="T509" s="15">
        <v>-389.44</v>
      </c>
    </row>
    <row r="510" spans="1:20" x14ac:dyDescent="0.3">
      <c r="A510" s="7" t="s">
        <v>528</v>
      </c>
      <c r="B510" s="13">
        <v>43657.816817129627</v>
      </c>
      <c r="C510" s="13">
        <v>43661.816816816798</v>
      </c>
      <c r="D510" s="8" t="s">
        <v>1021</v>
      </c>
      <c r="E510" s="8" t="s">
        <v>1512</v>
      </c>
      <c r="F510" s="8" t="s">
        <v>1974</v>
      </c>
      <c r="G510" s="8" t="s">
        <v>2406</v>
      </c>
      <c r="H510" s="8" t="s">
        <v>2409</v>
      </c>
      <c r="I510" s="8" t="s">
        <v>2418</v>
      </c>
      <c r="J510" s="16" t="s">
        <v>3898</v>
      </c>
      <c r="K510" s="16">
        <v>15388</v>
      </c>
      <c r="L510" s="8" t="s">
        <v>2419</v>
      </c>
      <c r="M510" s="8" t="s">
        <v>2916</v>
      </c>
      <c r="N510" s="8" t="s">
        <v>3371</v>
      </c>
      <c r="O510" s="8" t="s">
        <v>3383</v>
      </c>
      <c r="P510" s="8" t="s">
        <v>3417</v>
      </c>
      <c r="Q510" s="8">
        <v>3015.85</v>
      </c>
      <c r="R510" s="16">
        <v>1</v>
      </c>
      <c r="S510" s="21">
        <v>0.63</v>
      </c>
      <c r="T510" s="16">
        <v>-25.81</v>
      </c>
    </row>
    <row r="511" spans="1:20" x14ac:dyDescent="0.3">
      <c r="A511" s="5" t="s">
        <v>529</v>
      </c>
      <c r="B511" s="12">
        <v>43658.912916666668</v>
      </c>
      <c r="C511" s="12">
        <v>43659.912912912907</v>
      </c>
      <c r="D511" s="6" t="s">
        <v>1020</v>
      </c>
      <c r="E511" s="6" t="s">
        <v>1434</v>
      </c>
      <c r="F511" s="6" t="s">
        <v>2287</v>
      </c>
      <c r="G511" s="6" t="s">
        <v>2406</v>
      </c>
      <c r="H511" s="6" t="s">
        <v>2409</v>
      </c>
      <c r="I511" s="6" t="s">
        <v>2410</v>
      </c>
      <c r="J511" s="15" t="s">
        <v>3894</v>
      </c>
      <c r="K511" s="15">
        <v>85922</v>
      </c>
      <c r="L511" s="6" t="s">
        <v>2420</v>
      </c>
      <c r="M511" s="6" t="s">
        <v>2917</v>
      </c>
      <c r="N511" s="6" t="s">
        <v>3372</v>
      </c>
      <c r="O511" s="6" t="s">
        <v>3376</v>
      </c>
      <c r="P511" s="6" t="s">
        <v>3457</v>
      </c>
      <c r="Q511" s="6">
        <v>4864.13</v>
      </c>
      <c r="R511" s="15">
        <v>14</v>
      </c>
      <c r="S511" s="20">
        <v>0.09</v>
      </c>
      <c r="T511" s="15">
        <v>-220.9</v>
      </c>
    </row>
    <row r="512" spans="1:20" x14ac:dyDescent="0.3">
      <c r="A512" s="7" t="s">
        <v>530</v>
      </c>
      <c r="B512" s="13">
        <v>43660.009004629632</v>
      </c>
      <c r="C512" s="13">
        <v>43662.009009009002</v>
      </c>
      <c r="D512" s="8" t="s">
        <v>1020</v>
      </c>
      <c r="E512" s="8" t="s">
        <v>1025</v>
      </c>
      <c r="F512" s="8" t="s">
        <v>2168</v>
      </c>
      <c r="G512" s="8" t="s">
        <v>2408</v>
      </c>
      <c r="H512" s="8" t="s">
        <v>2409</v>
      </c>
      <c r="I512" s="8" t="s">
        <v>2415</v>
      </c>
      <c r="J512" s="16" t="s">
        <v>3898</v>
      </c>
      <c r="K512" s="16">
        <v>64216</v>
      </c>
      <c r="L512" s="8" t="s">
        <v>2419</v>
      </c>
      <c r="M512" s="8" t="s">
        <v>2918</v>
      </c>
      <c r="N512" s="8" t="s">
        <v>3372</v>
      </c>
      <c r="O512" s="8" t="s">
        <v>3384</v>
      </c>
      <c r="P512" s="8" t="s">
        <v>3736</v>
      </c>
      <c r="Q512" s="8">
        <v>449.75</v>
      </c>
      <c r="R512" s="16">
        <v>13</v>
      </c>
      <c r="S512" s="21">
        <v>0.65</v>
      </c>
      <c r="T512" s="16">
        <v>134.15</v>
      </c>
    </row>
    <row r="513" spans="1:20" x14ac:dyDescent="0.3">
      <c r="A513" s="5" t="s">
        <v>531</v>
      </c>
      <c r="B513" s="12">
        <v>43661.105104166665</v>
      </c>
      <c r="C513" s="12">
        <v>43667.105105105104</v>
      </c>
      <c r="D513" s="6" t="s">
        <v>1023</v>
      </c>
      <c r="E513" s="6" t="s">
        <v>1513</v>
      </c>
      <c r="F513" s="6" t="s">
        <v>2288</v>
      </c>
      <c r="G513" s="6" t="s">
        <v>2406</v>
      </c>
      <c r="H513" s="6" t="s">
        <v>2409</v>
      </c>
      <c r="I513" s="6" t="s">
        <v>2415</v>
      </c>
      <c r="J513" s="15" t="s">
        <v>3897</v>
      </c>
      <c r="K513" s="15">
        <v>22018</v>
      </c>
      <c r="L513" s="6" t="s">
        <v>2419</v>
      </c>
      <c r="M513" s="6" t="s">
        <v>2919</v>
      </c>
      <c r="N513" s="6" t="s">
        <v>3371</v>
      </c>
      <c r="O513" s="6" t="s">
        <v>3374</v>
      </c>
      <c r="P513" s="6" t="s">
        <v>3733</v>
      </c>
      <c r="Q513" s="6">
        <v>2691.62</v>
      </c>
      <c r="R513" s="15">
        <v>14</v>
      </c>
      <c r="S513" s="20">
        <v>0.48</v>
      </c>
      <c r="T513" s="15">
        <v>168.57</v>
      </c>
    </row>
    <row r="514" spans="1:20" x14ac:dyDescent="0.3">
      <c r="A514" s="7" t="s">
        <v>532</v>
      </c>
      <c r="B514" s="13">
        <v>43662.201203703706</v>
      </c>
      <c r="C514" s="13">
        <v>43664.201201201191</v>
      </c>
      <c r="D514" s="8" t="s">
        <v>1020</v>
      </c>
      <c r="E514" s="8" t="s">
        <v>1514</v>
      </c>
      <c r="F514" s="8" t="s">
        <v>2263</v>
      </c>
      <c r="G514" s="8" t="s">
        <v>2408</v>
      </c>
      <c r="H514" s="8" t="s">
        <v>2409</v>
      </c>
      <c r="I514" s="8" t="s">
        <v>2413</v>
      </c>
      <c r="J514" s="16" t="s">
        <v>3893</v>
      </c>
      <c r="K514" s="16">
        <v>19540</v>
      </c>
      <c r="L514" s="8" t="s">
        <v>2421</v>
      </c>
      <c r="M514" s="8" t="s">
        <v>2920</v>
      </c>
      <c r="N514" s="8" t="s">
        <v>3371</v>
      </c>
      <c r="O514" s="8" t="s">
        <v>3375</v>
      </c>
      <c r="P514" s="8" t="s">
        <v>3737</v>
      </c>
      <c r="Q514" s="8">
        <v>312.75</v>
      </c>
      <c r="R514" s="16">
        <v>10</v>
      </c>
      <c r="S514" s="21">
        <v>0.12</v>
      </c>
      <c r="T514" s="16">
        <v>-27.89</v>
      </c>
    </row>
    <row r="515" spans="1:20" x14ac:dyDescent="0.3">
      <c r="A515" s="5" t="s">
        <v>533</v>
      </c>
      <c r="B515" s="12">
        <v>43663.297291666669</v>
      </c>
      <c r="C515" s="12">
        <v>43667.297297297293</v>
      </c>
      <c r="D515" s="6" t="s">
        <v>1020</v>
      </c>
      <c r="E515" s="6" t="s">
        <v>1515</v>
      </c>
      <c r="F515" s="6" t="s">
        <v>2289</v>
      </c>
      <c r="G515" s="6" t="s">
        <v>2406</v>
      </c>
      <c r="H515" s="6" t="s">
        <v>2409</v>
      </c>
      <c r="I515" s="6" t="s">
        <v>2411</v>
      </c>
      <c r="J515" s="15" t="s">
        <v>3894</v>
      </c>
      <c r="K515" s="15">
        <v>32416</v>
      </c>
      <c r="L515" s="6" t="s">
        <v>2420</v>
      </c>
      <c r="M515" s="6" t="s">
        <v>2921</v>
      </c>
      <c r="N515" s="6" t="s">
        <v>3372</v>
      </c>
      <c r="O515" s="6" t="s">
        <v>3378</v>
      </c>
      <c r="P515" s="6" t="s">
        <v>3596</v>
      </c>
      <c r="Q515" s="6">
        <v>4185.55</v>
      </c>
      <c r="R515" s="15">
        <v>10</v>
      </c>
      <c r="S515" s="20">
        <v>0.26</v>
      </c>
      <c r="T515" s="15">
        <v>495.4</v>
      </c>
    </row>
    <row r="516" spans="1:20" x14ac:dyDescent="0.3">
      <c r="A516" s="7" t="s">
        <v>534</v>
      </c>
      <c r="B516" s="13">
        <v>43664.393391203703</v>
      </c>
      <c r="C516" s="13">
        <v>43670.393393393388</v>
      </c>
      <c r="D516" s="8" t="s">
        <v>1021</v>
      </c>
      <c r="E516" s="8" t="s">
        <v>1516</v>
      </c>
      <c r="F516" s="8" t="s">
        <v>2290</v>
      </c>
      <c r="G516" s="8" t="s">
        <v>2407</v>
      </c>
      <c r="H516" s="8" t="s">
        <v>2409</v>
      </c>
      <c r="I516" s="8" t="s">
        <v>2414</v>
      </c>
      <c r="J516" s="16" t="s">
        <v>3898</v>
      </c>
      <c r="K516" s="16">
        <v>64495</v>
      </c>
      <c r="L516" s="8" t="s">
        <v>2419</v>
      </c>
      <c r="M516" s="8" t="s">
        <v>2652</v>
      </c>
      <c r="N516" s="8" t="s">
        <v>3372</v>
      </c>
      <c r="O516" s="8" t="s">
        <v>3376</v>
      </c>
      <c r="P516" s="8" t="s">
        <v>3684</v>
      </c>
      <c r="Q516" s="8">
        <v>3259.74</v>
      </c>
      <c r="R516" s="16">
        <v>11</v>
      </c>
      <c r="S516" s="21">
        <v>0.81</v>
      </c>
      <c r="T516" s="16">
        <v>1213.04</v>
      </c>
    </row>
    <row r="517" spans="1:20" x14ac:dyDescent="0.3">
      <c r="A517" s="5" t="s">
        <v>535</v>
      </c>
      <c r="B517" s="12">
        <v>43665.489490740743</v>
      </c>
      <c r="C517" s="12">
        <v>43667.489489489482</v>
      </c>
      <c r="D517" s="6" t="s">
        <v>1021</v>
      </c>
      <c r="E517" s="6" t="s">
        <v>1517</v>
      </c>
      <c r="F517" s="6" t="s">
        <v>2018</v>
      </c>
      <c r="G517" s="6" t="s">
        <v>2408</v>
      </c>
      <c r="H517" s="6" t="s">
        <v>2409</v>
      </c>
      <c r="I517" s="6" t="s">
        <v>2411</v>
      </c>
      <c r="J517" s="15" t="s">
        <v>2410</v>
      </c>
      <c r="K517" s="15">
        <v>40434</v>
      </c>
      <c r="L517" s="6" t="s">
        <v>2419</v>
      </c>
      <c r="M517" s="6" t="s">
        <v>2922</v>
      </c>
      <c r="N517" s="6" t="s">
        <v>3371</v>
      </c>
      <c r="O517" s="6" t="s">
        <v>3375</v>
      </c>
      <c r="P517" s="6" t="s">
        <v>3505</v>
      </c>
      <c r="Q517" s="6">
        <v>3863.59</v>
      </c>
      <c r="R517" s="15">
        <v>14</v>
      </c>
      <c r="S517" s="20">
        <v>0.8</v>
      </c>
      <c r="T517" s="15">
        <v>2119.46</v>
      </c>
    </row>
    <row r="518" spans="1:20" x14ac:dyDescent="0.3">
      <c r="A518" s="7" t="s">
        <v>536</v>
      </c>
      <c r="B518" s="13">
        <v>43666.585590277777</v>
      </c>
      <c r="C518" s="13">
        <v>43672.585585585577</v>
      </c>
      <c r="D518" s="8" t="s">
        <v>1022</v>
      </c>
      <c r="E518" s="8" t="s">
        <v>1518</v>
      </c>
      <c r="F518" s="8" t="s">
        <v>2291</v>
      </c>
      <c r="G518" s="8" t="s">
        <v>2406</v>
      </c>
      <c r="H518" s="8" t="s">
        <v>2409</v>
      </c>
      <c r="I518" s="8" t="s">
        <v>2413</v>
      </c>
      <c r="J518" s="16" t="s">
        <v>3897</v>
      </c>
      <c r="K518" s="16">
        <v>57635</v>
      </c>
      <c r="L518" s="8" t="s">
        <v>2422</v>
      </c>
      <c r="M518" s="8" t="s">
        <v>2923</v>
      </c>
      <c r="N518" s="8" t="s">
        <v>3373</v>
      </c>
      <c r="O518" s="8" t="s">
        <v>3380</v>
      </c>
      <c r="P518" s="8" t="s">
        <v>3738</v>
      </c>
      <c r="Q518" s="8">
        <v>3837.14</v>
      </c>
      <c r="R518" s="16">
        <v>8</v>
      </c>
      <c r="S518" s="21">
        <v>0.17</v>
      </c>
      <c r="T518" s="16">
        <v>196.76</v>
      </c>
    </row>
    <row r="519" spans="1:20" x14ac:dyDescent="0.3">
      <c r="A519" s="5" t="s">
        <v>537</v>
      </c>
      <c r="B519" s="12">
        <v>43667.68167824074</v>
      </c>
      <c r="C519" s="12">
        <v>43670.681681681679</v>
      </c>
      <c r="D519" s="6" t="s">
        <v>1022</v>
      </c>
      <c r="E519" s="6" t="s">
        <v>1519</v>
      </c>
      <c r="F519" s="6" t="s">
        <v>2292</v>
      </c>
      <c r="G519" s="6" t="s">
        <v>2407</v>
      </c>
      <c r="H519" s="6" t="s">
        <v>2409</v>
      </c>
      <c r="I519" s="6" t="s">
        <v>2416</v>
      </c>
      <c r="J519" s="15" t="s">
        <v>3895</v>
      </c>
      <c r="K519" s="15">
        <v>39309</v>
      </c>
      <c r="L519" s="6" t="s">
        <v>2420</v>
      </c>
      <c r="M519" s="6" t="s">
        <v>2924</v>
      </c>
      <c r="N519" s="6" t="s">
        <v>3373</v>
      </c>
      <c r="O519" s="6" t="s">
        <v>3385</v>
      </c>
      <c r="P519" s="6" t="s">
        <v>3739</v>
      </c>
      <c r="Q519" s="6">
        <v>4602.92</v>
      </c>
      <c r="R519" s="15">
        <v>10</v>
      </c>
      <c r="S519" s="20">
        <v>0.83</v>
      </c>
      <c r="T519" s="15">
        <v>955.38</v>
      </c>
    </row>
    <row r="520" spans="1:20" x14ac:dyDescent="0.3">
      <c r="A520" s="7" t="s">
        <v>538</v>
      </c>
      <c r="B520" s="13">
        <v>43668.777777777781</v>
      </c>
      <c r="C520" s="13">
        <v>43669.777777777781</v>
      </c>
      <c r="D520" s="8" t="s">
        <v>1020</v>
      </c>
      <c r="E520" s="8" t="s">
        <v>1520</v>
      </c>
      <c r="F520" s="8" t="s">
        <v>2131</v>
      </c>
      <c r="G520" s="8" t="s">
        <v>2407</v>
      </c>
      <c r="H520" s="8" t="s">
        <v>2409</v>
      </c>
      <c r="I520" s="8" t="s">
        <v>2417</v>
      </c>
      <c r="J520" s="16" t="s">
        <v>3895</v>
      </c>
      <c r="K520" s="16">
        <v>47585</v>
      </c>
      <c r="L520" s="8" t="s">
        <v>2420</v>
      </c>
      <c r="M520" s="8" t="s">
        <v>2925</v>
      </c>
      <c r="N520" s="8" t="s">
        <v>3373</v>
      </c>
      <c r="O520" s="8" t="s">
        <v>3379</v>
      </c>
      <c r="P520" s="8" t="s">
        <v>3740</v>
      </c>
      <c r="Q520" s="8">
        <v>1481.29</v>
      </c>
      <c r="R520" s="16">
        <v>13</v>
      </c>
      <c r="S520" s="21">
        <v>0.1</v>
      </c>
      <c r="T520" s="16">
        <v>319.08</v>
      </c>
    </row>
    <row r="521" spans="1:20" x14ac:dyDescent="0.3">
      <c r="A521" s="5" t="s">
        <v>539</v>
      </c>
      <c r="B521" s="12">
        <v>43669.873877314814</v>
      </c>
      <c r="C521" s="12">
        <v>43672.873873873868</v>
      </c>
      <c r="D521" s="6" t="s">
        <v>1022</v>
      </c>
      <c r="E521" s="6" t="s">
        <v>1521</v>
      </c>
      <c r="F521" s="6" t="s">
        <v>2169</v>
      </c>
      <c r="G521" s="6" t="s">
        <v>2406</v>
      </c>
      <c r="H521" s="6" t="s">
        <v>2409</v>
      </c>
      <c r="I521" s="6" t="s">
        <v>2415</v>
      </c>
      <c r="J521" s="15" t="s">
        <v>3896</v>
      </c>
      <c r="K521" s="15">
        <v>68643</v>
      </c>
      <c r="L521" s="6" t="s">
        <v>2419</v>
      </c>
      <c r="M521" s="6" t="s">
        <v>2926</v>
      </c>
      <c r="N521" s="6" t="s">
        <v>3373</v>
      </c>
      <c r="O521" s="6" t="s">
        <v>3380</v>
      </c>
      <c r="P521" s="6" t="s">
        <v>3671</v>
      </c>
      <c r="Q521" s="6">
        <v>2606.14</v>
      </c>
      <c r="R521" s="15">
        <v>14</v>
      </c>
      <c r="S521" s="20">
        <v>0.43</v>
      </c>
      <c r="T521" s="15">
        <v>51.87</v>
      </c>
    </row>
    <row r="522" spans="1:20" x14ac:dyDescent="0.3">
      <c r="A522" s="7" t="s">
        <v>540</v>
      </c>
      <c r="B522" s="13">
        <v>43670.969965277778</v>
      </c>
      <c r="C522" s="13">
        <v>43674.969969969963</v>
      </c>
      <c r="D522" s="8" t="s">
        <v>1023</v>
      </c>
      <c r="E522" s="8" t="s">
        <v>1522</v>
      </c>
      <c r="F522" s="8" t="s">
        <v>2293</v>
      </c>
      <c r="G522" s="8" t="s">
        <v>2408</v>
      </c>
      <c r="H522" s="8" t="s">
        <v>2409</v>
      </c>
      <c r="I522" s="8" t="s">
        <v>2413</v>
      </c>
      <c r="J522" s="16" t="s">
        <v>3896</v>
      </c>
      <c r="K522" s="16">
        <v>25613</v>
      </c>
      <c r="L522" s="8" t="s">
        <v>2419</v>
      </c>
      <c r="M522" s="8" t="s">
        <v>2927</v>
      </c>
      <c r="N522" s="8" t="s">
        <v>3372</v>
      </c>
      <c r="O522" s="8" t="s">
        <v>3376</v>
      </c>
      <c r="P522" s="8" t="s">
        <v>3741</v>
      </c>
      <c r="Q522" s="8">
        <v>2254.71</v>
      </c>
      <c r="R522" s="16">
        <v>5</v>
      </c>
      <c r="S522" s="21">
        <v>0.66</v>
      </c>
      <c r="T522" s="16">
        <v>1201.42</v>
      </c>
    </row>
    <row r="523" spans="1:20" x14ac:dyDescent="0.3">
      <c r="A523" s="5" t="s">
        <v>541</v>
      </c>
      <c r="B523" s="12">
        <v>43672.066064814811</v>
      </c>
      <c r="C523" s="12">
        <v>43674.066066066072</v>
      </c>
      <c r="D523" s="6" t="s">
        <v>1020</v>
      </c>
      <c r="E523" s="6" t="s">
        <v>1523</v>
      </c>
      <c r="F523" s="6" t="s">
        <v>2116</v>
      </c>
      <c r="G523" s="6" t="s">
        <v>2406</v>
      </c>
      <c r="H523" s="6" t="s">
        <v>2409</v>
      </c>
      <c r="I523" s="6" t="s">
        <v>2411</v>
      </c>
      <c r="J523" s="15" t="s">
        <v>3898</v>
      </c>
      <c r="K523" s="15">
        <v>33199</v>
      </c>
      <c r="L523" s="6" t="s">
        <v>2420</v>
      </c>
      <c r="M523" s="6" t="s">
        <v>2928</v>
      </c>
      <c r="N523" s="6" t="s">
        <v>3372</v>
      </c>
      <c r="O523" s="6" t="s">
        <v>3384</v>
      </c>
      <c r="P523" s="6" t="s">
        <v>3742</v>
      </c>
      <c r="Q523" s="6">
        <v>1433.03</v>
      </c>
      <c r="R523" s="15">
        <v>10</v>
      </c>
      <c r="S523" s="20">
        <v>0.81</v>
      </c>
      <c r="T523" s="15">
        <v>680.99</v>
      </c>
    </row>
    <row r="524" spans="1:20" x14ac:dyDescent="0.3">
      <c r="A524" s="7" t="s">
        <v>542</v>
      </c>
      <c r="B524" s="13">
        <v>43673.162164351852</v>
      </c>
      <c r="C524" s="13">
        <v>43678.162162162153</v>
      </c>
      <c r="D524" s="8" t="s">
        <v>1021</v>
      </c>
      <c r="E524" s="8" t="s">
        <v>1524</v>
      </c>
      <c r="F524" s="8" t="s">
        <v>2294</v>
      </c>
      <c r="G524" s="8" t="s">
        <v>2408</v>
      </c>
      <c r="H524" s="8" t="s">
        <v>2409</v>
      </c>
      <c r="I524" s="8" t="s">
        <v>2415</v>
      </c>
      <c r="J524" s="16" t="s">
        <v>3894</v>
      </c>
      <c r="K524" s="16">
        <v>24566</v>
      </c>
      <c r="L524" s="8" t="s">
        <v>2422</v>
      </c>
      <c r="M524" s="8" t="s">
        <v>2929</v>
      </c>
      <c r="N524" s="8" t="s">
        <v>3373</v>
      </c>
      <c r="O524" s="8" t="s">
        <v>3379</v>
      </c>
      <c r="P524" s="8" t="s">
        <v>3653</v>
      </c>
      <c r="Q524" s="8">
        <v>389.35</v>
      </c>
      <c r="R524" s="16">
        <v>3</v>
      </c>
      <c r="S524" s="21">
        <v>0.27</v>
      </c>
      <c r="T524" s="16">
        <v>-64.98</v>
      </c>
    </row>
    <row r="525" spans="1:20" x14ac:dyDescent="0.3">
      <c r="A525" s="5" t="s">
        <v>543</v>
      </c>
      <c r="B525" s="12">
        <v>43674.258263888885</v>
      </c>
      <c r="C525" s="12">
        <v>43678.258258258247</v>
      </c>
      <c r="D525" s="6" t="s">
        <v>1023</v>
      </c>
      <c r="E525" s="6" t="s">
        <v>1525</v>
      </c>
      <c r="F525" s="6" t="s">
        <v>2077</v>
      </c>
      <c r="G525" s="6" t="s">
        <v>2407</v>
      </c>
      <c r="H525" s="6" t="s">
        <v>2409</v>
      </c>
      <c r="I525" s="6" t="s">
        <v>2418</v>
      </c>
      <c r="J525" s="15" t="s">
        <v>3897</v>
      </c>
      <c r="K525" s="15">
        <v>36108</v>
      </c>
      <c r="L525" s="6" t="s">
        <v>2419</v>
      </c>
      <c r="M525" s="6" t="s">
        <v>2930</v>
      </c>
      <c r="N525" s="6" t="s">
        <v>3371</v>
      </c>
      <c r="O525" s="6" t="s">
        <v>3374</v>
      </c>
      <c r="P525" s="6" t="s">
        <v>3626</v>
      </c>
      <c r="Q525" s="6">
        <v>1230.75</v>
      </c>
      <c r="R525" s="15">
        <v>11</v>
      </c>
      <c r="S525" s="20">
        <v>0.87</v>
      </c>
      <c r="T525" s="15">
        <v>-223.86</v>
      </c>
    </row>
    <row r="526" spans="1:20" x14ac:dyDescent="0.3">
      <c r="A526" s="7" t="s">
        <v>544</v>
      </c>
      <c r="B526" s="13">
        <v>43675.354351851849</v>
      </c>
      <c r="C526" s="13">
        <v>43680.354354354349</v>
      </c>
      <c r="D526" s="8" t="s">
        <v>1021</v>
      </c>
      <c r="E526" s="8" t="s">
        <v>1526</v>
      </c>
      <c r="F526" s="8" t="s">
        <v>2000</v>
      </c>
      <c r="G526" s="8" t="s">
        <v>2407</v>
      </c>
      <c r="H526" s="8" t="s">
        <v>2409</v>
      </c>
      <c r="I526" s="8" t="s">
        <v>2413</v>
      </c>
      <c r="J526" s="16" t="s">
        <v>3895</v>
      </c>
      <c r="K526" s="16">
        <v>51687</v>
      </c>
      <c r="L526" s="8" t="s">
        <v>2420</v>
      </c>
      <c r="M526" s="8" t="s">
        <v>2931</v>
      </c>
      <c r="N526" s="8" t="s">
        <v>3372</v>
      </c>
      <c r="O526" s="8" t="s">
        <v>3377</v>
      </c>
      <c r="P526" s="8" t="s">
        <v>3609</v>
      </c>
      <c r="Q526" s="8">
        <v>1271.8900000000001</v>
      </c>
      <c r="R526" s="16">
        <v>5</v>
      </c>
      <c r="S526" s="21">
        <v>0.63</v>
      </c>
      <c r="T526" s="16">
        <v>713.14</v>
      </c>
    </row>
    <row r="527" spans="1:20" x14ac:dyDescent="0.3">
      <c r="A527" s="5" t="s">
        <v>545</v>
      </c>
      <c r="B527" s="12">
        <v>43676.45045138889</v>
      </c>
      <c r="C527" s="12">
        <v>43680.450450450437</v>
      </c>
      <c r="D527" s="6" t="s">
        <v>1020</v>
      </c>
      <c r="E527" s="6" t="s">
        <v>1527</v>
      </c>
      <c r="F527" s="6" t="s">
        <v>2014</v>
      </c>
      <c r="G527" s="6" t="s">
        <v>2408</v>
      </c>
      <c r="H527" s="6" t="s">
        <v>2409</v>
      </c>
      <c r="I527" s="6" t="s">
        <v>2418</v>
      </c>
      <c r="J527" s="15" t="s">
        <v>3893</v>
      </c>
      <c r="K527" s="15">
        <v>17583</v>
      </c>
      <c r="L527" s="6" t="s">
        <v>2420</v>
      </c>
      <c r="M527" s="6" t="s">
        <v>2932</v>
      </c>
      <c r="N527" s="6" t="s">
        <v>3372</v>
      </c>
      <c r="O527" s="6" t="s">
        <v>3377</v>
      </c>
      <c r="P527" s="6" t="s">
        <v>3665</v>
      </c>
      <c r="Q527" s="6">
        <v>1164.3900000000001</v>
      </c>
      <c r="R527" s="15">
        <v>9</v>
      </c>
      <c r="S527" s="20">
        <v>0.49</v>
      </c>
      <c r="T527" s="15">
        <v>-187.84</v>
      </c>
    </row>
    <row r="528" spans="1:20" x14ac:dyDescent="0.3">
      <c r="A528" s="7" t="s">
        <v>546</v>
      </c>
      <c r="B528" s="13">
        <v>43677.546550925923</v>
      </c>
      <c r="C528" s="13">
        <v>43681.546546546539</v>
      </c>
      <c r="D528" s="8" t="s">
        <v>1020</v>
      </c>
      <c r="E528" s="8" t="s">
        <v>1528</v>
      </c>
      <c r="F528" s="8" t="s">
        <v>2295</v>
      </c>
      <c r="G528" s="8" t="s">
        <v>2408</v>
      </c>
      <c r="H528" s="8" t="s">
        <v>2409</v>
      </c>
      <c r="I528" s="8" t="s">
        <v>2417</v>
      </c>
      <c r="J528" s="16" t="s">
        <v>3892</v>
      </c>
      <c r="K528" s="16">
        <v>64976</v>
      </c>
      <c r="L528" s="8" t="s">
        <v>2421</v>
      </c>
      <c r="M528" s="8" t="s">
        <v>2933</v>
      </c>
      <c r="N528" s="8" t="s">
        <v>3372</v>
      </c>
      <c r="O528" s="8" t="s">
        <v>3376</v>
      </c>
      <c r="P528" s="8" t="s">
        <v>3428</v>
      </c>
      <c r="Q528" s="8">
        <v>3199.46</v>
      </c>
      <c r="R528" s="16">
        <v>12</v>
      </c>
      <c r="S528" s="21">
        <v>0.42</v>
      </c>
      <c r="T528" s="16">
        <v>16.11</v>
      </c>
    </row>
    <row r="529" spans="1:20" x14ac:dyDescent="0.3">
      <c r="A529" s="5" t="s">
        <v>547</v>
      </c>
      <c r="B529" s="12">
        <v>43678.642638888887</v>
      </c>
      <c r="C529" s="12">
        <v>43681.642642642641</v>
      </c>
      <c r="D529" s="6" t="s">
        <v>1021</v>
      </c>
      <c r="E529" s="6" t="s">
        <v>1529</v>
      </c>
      <c r="F529" s="6" t="s">
        <v>2065</v>
      </c>
      <c r="G529" s="6" t="s">
        <v>2408</v>
      </c>
      <c r="H529" s="6" t="s">
        <v>2409</v>
      </c>
      <c r="I529" s="6" t="s">
        <v>2418</v>
      </c>
      <c r="J529" s="15" t="s">
        <v>3891</v>
      </c>
      <c r="K529" s="15">
        <v>64146</v>
      </c>
      <c r="L529" s="6" t="s">
        <v>2419</v>
      </c>
      <c r="M529" s="6" t="s">
        <v>2934</v>
      </c>
      <c r="N529" s="6" t="s">
        <v>3371</v>
      </c>
      <c r="O529" s="6" t="s">
        <v>3383</v>
      </c>
      <c r="P529" s="6" t="s">
        <v>3391</v>
      </c>
      <c r="Q529" s="6">
        <v>3072.62</v>
      </c>
      <c r="R529" s="15">
        <v>3</v>
      </c>
      <c r="S529" s="20">
        <v>0.24</v>
      </c>
      <c r="T529" s="15">
        <v>1785.13</v>
      </c>
    </row>
    <row r="530" spans="1:20" x14ac:dyDescent="0.3">
      <c r="A530" s="7" t="s">
        <v>548</v>
      </c>
      <c r="B530" s="13">
        <v>43679.738738425927</v>
      </c>
      <c r="C530" s="13">
        <v>43684.738738738743</v>
      </c>
      <c r="D530" s="8" t="s">
        <v>1023</v>
      </c>
      <c r="E530" s="8" t="s">
        <v>1530</v>
      </c>
      <c r="F530" s="8" t="s">
        <v>2055</v>
      </c>
      <c r="G530" s="8" t="s">
        <v>2406</v>
      </c>
      <c r="H530" s="8" t="s">
        <v>2409</v>
      </c>
      <c r="I530" s="8" t="s">
        <v>2413</v>
      </c>
      <c r="J530" s="16" t="s">
        <v>3892</v>
      </c>
      <c r="K530" s="16">
        <v>85864</v>
      </c>
      <c r="L530" s="8" t="s">
        <v>2422</v>
      </c>
      <c r="M530" s="8" t="s">
        <v>2935</v>
      </c>
      <c r="N530" s="8" t="s">
        <v>3373</v>
      </c>
      <c r="O530" s="8" t="s">
        <v>3379</v>
      </c>
      <c r="P530" s="8" t="s">
        <v>3670</v>
      </c>
      <c r="Q530" s="8">
        <v>3859.65</v>
      </c>
      <c r="R530" s="16">
        <v>4</v>
      </c>
      <c r="S530" s="21">
        <v>0</v>
      </c>
      <c r="T530" s="16">
        <v>1629.73</v>
      </c>
    </row>
    <row r="531" spans="1:20" x14ac:dyDescent="0.3">
      <c r="A531" s="5" t="s">
        <v>549</v>
      </c>
      <c r="B531" s="12">
        <v>43680.834837962961</v>
      </c>
      <c r="C531" s="12">
        <v>43682.83483483483</v>
      </c>
      <c r="D531" s="6" t="s">
        <v>1021</v>
      </c>
      <c r="E531" s="6" t="s">
        <v>1531</v>
      </c>
      <c r="F531" s="6" t="s">
        <v>2023</v>
      </c>
      <c r="G531" s="6" t="s">
        <v>2406</v>
      </c>
      <c r="H531" s="6" t="s">
        <v>2409</v>
      </c>
      <c r="I531" s="6" t="s">
        <v>2415</v>
      </c>
      <c r="J531" s="15" t="s">
        <v>3892</v>
      </c>
      <c r="K531" s="15">
        <v>26841</v>
      </c>
      <c r="L531" s="6" t="s">
        <v>2419</v>
      </c>
      <c r="M531" s="6" t="s">
        <v>2936</v>
      </c>
      <c r="N531" s="6" t="s">
        <v>3371</v>
      </c>
      <c r="O531" s="6" t="s">
        <v>3383</v>
      </c>
      <c r="P531" s="6" t="s">
        <v>3445</v>
      </c>
      <c r="Q531" s="6">
        <v>4424.54</v>
      </c>
      <c r="R531" s="15">
        <v>2</v>
      </c>
      <c r="S531" s="20">
        <v>0.74</v>
      </c>
      <c r="T531" s="15">
        <v>-868.74</v>
      </c>
    </row>
    <row r="532" spans="1:20" x14ac:dyDescent="0.3">
      <c r="A532" s="7" t="s">
        <v>550</v>
      </c>
      <c r="B532" s="13">
        <v>43681.930925925924</v>
      </c>
      <c r="C532" s="13">
        <v>43686.930930930917</v>
      </c>
      <c r="D532" s="8" t="s">
        <v>1023</v>
      </c>
      <c r="E532" s="8" t="s">
        <v>1532</v>
      </c>
      <c r="F532" s="8" t="s">
        <v>2219</v>
      </c>
      <c r="G532" s="8" t="s">
        <v>2408</v>
      </c>
      <c r="H532" s="8" t="s">
        <v>2409</v>
      </c>
      <c r="I532" s="8" t="s">
        <v>2410</v>
      </c>
      <c r="J532" s="16" t="s">
        <v>3894</v>
      </c>
      <c r="K532" s="16">
        <v>12188</v>
      </c>
      <c r="L532" s="8" t="s">
        <v>2420</v>
      </c>
      <c r="M532" s="8" t="s">
        <v>2937</v>
      </c>
      <c r="N532" s="8" t="s">
        <v>3371</v>
      </c>
      <c r="O532" s="8" t="s">
        <v>3383</v>
      </c>
      <c r="P532" s="8" t="s">
        <v>3627</v>
      </c>
      <c r="Q532" s="8">
        <v>1773.34</v>
      </c>
      <c r="R532" s="16">
        <v>2</v>
      </c>
      <c r="S532" s="21">
        <v>0.5</v>
      </c>
      <c r="T532" s="16">
        <v>889.95</v>
      </c>
    </row>
    <row r="533" spans="1:20" x14ac:dyDescent="0.3">
      <c r="A533" s="5" t="s">
        <v>551</v>
      </c>
      <c r="B533" s="12">
        <v>43683.027025462965</v>
      </c>
      <c r="C533" s="12">
        <v>43686.027027027027</v>
      </c>
      <c r="D533" s="6" t="s">
        <v>1021</v>
      </c>
      <c r="E533" s="6" t="s">
        <v>1533</v>
      </c>
      <c r="F533" s="6" t="s">
        <v>2278</v>
      </c>
      <c r="G533" s="6" t="s">
        <v>2408</v>
      </c>
      <c r="H533" s="6" t="s">
        <v>2409</v>
      </c>
      <c r="I533" s="6" t="s">
        <v>2412</v>
      </c>
      <c r="J533" s="15" t="s">
        <v>3893</v>
      </c>
      <c r="K533" s="15">
        <v>77303</v>
      </c>
      <c r="L533" s="6" t="s">
        <v>2419</v>
      </c>
      <c r="M533" s="6" t="s">
        <v>2938</v>
      </c>
      <c r="N533" s="6" t="s">
        <v>3371</v>
      </c>
      <c r="O533" s="6" t="s">
        <v>3374</v>
      </c>
      <c r="P533" s="6" t="s">
        <v>3743</v>
      </c>
      <c r="Q533" s="6">
        <v>742.44</v>
      </c>
      <c r="R533" s="15">
        <v>9</v>
      </c>
      <c r="S533" s="20">
        <v>0.15</v>
      </c>
      <c r="T533" s="15">
        <v>35.42</v>
      </c>
    </row>
    <row r="534" spans="1:20" x14ac:dyDescent="0.3">
      <c r="A534" s="7" t="s">
        <v>552</v>
      </c>
      <c r="B534" s="13">
        <v>43684.123124999998</v>
      </c>
      <c r="C534" s="13">
        <v>43685.123123123107</v>
      </c>
      <c r="D534" s="8" t="s">
        <v>1021</v>
      </c>
      <c r="E534" s="8" t="s">
        <v>1534</v>
      </c>
      <c r="F534" s="8" t="s">
        <v>2221</v>
      </c>
      <c r="G534" s="8" t="s">
        <v>2407</v>
      </c>
      <c r="H534" s="8" t="s">
        <v>2409</v>
      </c>
      <c r="I534" s="8" t="s">
        <v>2412</v>
      </c>
      <c r="J534" s="16" t="s">
        <v>3893</v>
      </c>
      <c r="K534" s="16">
        <v>86316</v>
      </c>
      <c r="L534" s="8" t="s">
        <v>2422</v>
      </c>
      <c r="M534" s="8" t="s">
        <v>2939</v>
      </c>
      <c r="N534" s="8" t="s">
        <v>3372</v>
      </c>
      <c r="O534" s="8" t="s">
        <v>3384</v>
      </c>
      <c r="P534" s="8" t="s">
        <v>3744</v>
      </c>
      <c r="Q534" s="8">
        <v>646.86</v>
      </c>
      <c r="R534" s="16">
        <v>6</v>
      </c>
      <c r="S534" s="21">
        <v>0.09</v>
      </c>
      <c r="T534" s="16">
        <v>180.01</v>
      </c>
    </row>
    <row r="535" spans="1:20" x14ac:dyDescent="0.3">
      <c r="A535" s="5" t="s">
        <v>553</v>
      </c>
      <c r="B535" s="12">
        <v>43685.219224537039</v>
      </c>
      <c r="C535" s="12">
        <v>43689.219219219223</v>
      </c>
      <c r="D535" s="6" t="s">
        <v>1022</v>
      </c>
      <c r="E535" s="6" t="s">
        <v>1535</v>
      </c>
      <c r="F535" s="6" t="s">
        <v>1969</v>
      </c>
      <c r="G535" s="6" t="s">
        <v>2406</v>
      </c>
      <c r="H535" s="6" t="s">
        <v>2409</v>
      </c>
      <c r="I535" s="6" t="s">
        <v>2412</v>
      </c>
      <c r="J535" s="15" t="s">
        <v>3895</v>
      </c>
      <c r="K535" s="15">
        <v>20203</v>
      </c>
      <c r="L535" s="6" t="s">
        <v>2421</v>
      </c>
      <c r="M535" s="6" t="s">
        <v>2940</v>
      </c>
      <c r="N535" s="6" t="s">
        <v>3371</v>
      </c>
      <c r="O535" s="6" t="s">
        <v>3383</v>
      </c>
      <c r="P535" s="6" t="s">
        <v>3745</v>
      </c>
      <c r="Q535" s="6">
        <v>3465.35</v>
      </c>
      <c r="R535" s="15">
        <v>12</v>
      </c>
      <c r="S535" s="20">
        <v>0.78</v>
      </c>
      <c r="T535" s="15">
        <v>-122.43</v>
      </c>
    </row>
    <row r="536" spans="1:20" x14ac:dyDescent="0.3">
      <c r="A536" s="7" t="s">
        <v>554</v>
      </c>
      <c r="B536" s="13">
        <v>43686.315312500003</v>
      </c>
      <c r="C536" s="13">
        <v>43690.315315315311</v>
      </c>
      <c r="D536" s="8" t="s">
        <v>1021</v>
      </c>
      <c r="E536" s="8" t="s">
        <v>1536</v>
      </c>
      <c r="F536" s="8" t="s">
        <v>2296</v>
      </c>
      <c r="G536" s="8" t="s">
        <v>2407</v>
      </c>
      <c r="H536" s="8" t="s">
        <v>2409</v>
      </c>
      <c r="I536" s="8" t="s">
        <v>2417</v>
      </c>
      <c r="J536" s="16" t="s">
        <v>3898</v>
      </c>
      <c r="K536" s="16">
        <v>49521</v>
      </c>
      <c r="L536" s="8" t="s">
        <v>2420</v>
      </c>
      <c r="M536" s="8" t="s">
        <v>2941</v>
      </c>
      <c r="N536" s="8" t="s">
        <v>3373</v>
      </c>
      <c r="O536" s="8" t="s">
        <v>3381</v>
      </c>
      <c r="P536" s="8" t="s">
        <v>3618</v>
      </c>
      <c r="Q536" s="8">
        <v>3850.41</v>
      </c>
      <c r="R536" s="16">
        <v>8</v>
      </c>
      <c r="S536" s="21">
        <v>0.4</v>
      </c>
      <c r="T536" s="16">
        <v>561.75</v>
      </c>
    </row>
    <row r="537" spans="1:20" x14ac:dyDescent="0.3">
      <c r="A537" s="5" t="s">
        <v>555</v>
      </c>
      <c r="B537" s="12">
        <v>43687.411412037036</v>
      </c>
      <c r="C537" s="12">
        <v>43693.411411411398</v>
      </c>
      <c r="D537" s="6" t="s">
        <v>1022</v>
      </c>
      <c r="E537" s="6" t="s">
        <v>1537</v>
      </c>
      <c r="F537" s="6" t="s">
        <v>2297</v>
      </c>
      <c r="G537" s="6" t="s">
        <v>2408</v>
      </c>
      <c r="H537" s="6" t="s">
        <v>2409</v>
      </c>
      <c r="I537" s="6" t="s">
        <v>2410</v>
      </c>
      <c r="J537" s="15" t="s">
        <v>2410</v>
      </c>
      <c r="K537" s="15">
        <v>67685</v>
      </c>
      <c r="L537" s="6" t="s">
        <v>2419</v>
      </c>
      <c r="M537" s="6" t="s">
        <v>2942</v>
      </c>
      <c r="N537" s="6" t="s">
        <v>3373</v>
      </c>
      <c r="O537" s="6" t="s">
        <v>3380</v>
      </c>
      <c r="P537" s="6" t="s">
        <v>3696</v>
      </c>
      <c r="Q537" s="6">
        <v>486.15</v>
      </c>
      <c r="R537" s="15">
        <v>6</v>
      </c>
      <c r="S537" s="20">
        <v>0.38</v>
      </c>
      <c r="T537" s="15">
        <v>148.72</v>
      </c>
    </row>
    <row r="538" spans="1:20" x14ac:dyDescent="0.3">
      <c r="A538" s="7" t="s">
        <v>556</v>
      </c>
      <c r="B538" s="13">
        <v>43688.507511574076</v>
      </c>
      <c r="C538" s="13">
        <v>43693.5075075075</v>
      </c>
      <c r="D538" s="8" t="s">
        <v>1021</v>
      </c>
      <c r="E538" s="8" t="s">
        <v>1538</v>
      </c>
      <c r="F538" s="8" t="s">
        <v>2298</v>
      </c>
      <c r="G538" s="8" t="s">
        <v>2407</v>
      </c>
      <c r="H538" s="8" t="s">
        <v>2409</v>
      </c>
      <c r="I538" s="8" t="s">
        <v>2416</v>
      </c>
      <c r="J538" s="16" t="s">
        <v>3893</v>
      </c>
      <c r="K538" s="16">
        <v>57065</v>
      </c>
      <c r="L538" s="8" t="s">
        <v>2420</v>
      </c>
      <c r="M538" s="8" t="s">
        <v>2943</v>
      </c>
      <c r="N538" s="8" t="s">
        <v>3372</v>
      </c>
      <c r="O538" s="8" t="s">
        <v>3376</v>
      </c>
      <c r="P538" s="8" t="s">
        <v>3472</v>
      </c>
      <c r="Q538" s="8">
        <v>1817.25</v>
      </c>
      <c r="R538" s="16">
        <v>14</v>
      </c>
      <c r="S538" s="21">
        <v>0.81</v>
      </c>
      <c r="T538" s="16">
        <v>707.82</v>
      </c>
    </row>
    <row r="539" spans="1:20" x14ac:dyDescent="0.3">
      <c r="A539" s="5" t="s">
        <v>557</v>
      </c>
      <c r="B539" s="12">
        <v>43689.60359953704</v>
      </c>
      <c r="C539" s="12">
        <v>43692.603603603602</v>
      </c>
      <c r="D539" s="6" t="s">
        <v>1023</v>
      </c>
      <c r="E539" s="6" t="s">
        <v>1539</v>
      </c>
      <c r="F539" s="6" t="s">
        <v>2150</v>
      </c>
      <c r="G539" s="6" t="s">
        <v>2406</v>
      </c>
      <c r="H539" s="6" t="s">
        <v>2409</v>
      </c>
      <c r="I539" s="6" t="s">
        <v>2414</v>
      </c>
      <c r="J539" s="15" t="s">
        <v>3893</v>
      </c>
      <c r="K539" s="15">
        <v>69837</v>
      </c>
      <c r="L539" s="6" t="s">
        <v>2422</v>
      </c>
      <c r="M539" s="6" t="s">
        <v>2944</v>
      </c>
      <c r="N539" s="6" t="s">
        <v>3373</v>
      </c>
      <c r="O539" s="6" t="s">
        <v>3385</v>
      </c>
      <c r="P539" s="6" t="s">
        <v>3746</v>
      </c>
      <c r="Q539" s="6">
        <v>4816.58</v>
      </c>
      <c r="R539" s="15">
        <v>8</v>
      </c>
      <c r="S539" s="20">
        <v>0.06</v>
      </c>
      <c r="T539" s="15">
        <v>2761.51</v>
      </c>
    </row>
    <row r="540" spans="1:20" x14ac:dyDescent="0.3">
      <c r="A540" s="7" t="s">
        <v>558</v>
      </c>
      <c r="B540" s="13">
        <v>43690.699699074074</v>
      </c>
      <c r="C540" s="13">
        <v>43694.699699699697</v>
      </c>
      <c r="D540" s="8" t="s">
        <v>1021</v>
      </c>
      <c r="E540" s="8" t="s">
        <v>1540</v>
      </c>
      <c r="F540" s="8" t="s">
        <v>2299</v>
      </c>
      <c r="G540" s="8" t="s">
        <v>2408</v>
      </c>
      <c r="H540" s="8" t="s">
        <v>2409</v>
      </c>
      <c r="I540" s="8" t="s">
        <v>2412</v>
      </c>
      <c r="J540" s="16" t="s">
        <v>3896</v>
      </c>
      <c r="K540" s="16">
        <v>36124</v>
      </c>
      <c r="L540" s="8" t="s">
        <v>2419</v>
      </c>
      <c r="M540" s="8" t="s">
        <v>2945</v>
      </c>
      <c r="N540" s="8" t="s">
        <v>3373</v>
      </c>
      <c r="O540" s="8" t="s">
        <v>3380</v>
      </c>
      <c r="P540" s="8" t="s">
        <v>3707</v>
      </c>
      <c r="Q540" s="8">
        <v>426.46</v>
      </c>
      <c r="R540" s="16">
        <v>4</v>
      </c>
      <c r="S540" s="21">
        <v>0.39</v>
      </c>
      <c r="T540" s="16">
        <v>57.27</v>
      </c>
    </row>
    <row r="541" spans="1:20" x14ac:dyDescent="0.3">
      <c r="A541" s="5" t="s">
        <v>559</v>
      </c>
      <c r="B541" s="12">
        <v>43691.795798611114</v>
      </c>
      <c r="C541" s="12">
        <v>43695.795795795777</v>
      </c>
      <c r="D541" s="6" t="s">
        <v>1020</v>
      </c>
      <c r="E541" s="6" t="s">
        <v>1541</v>
      </c>
      <c r="F541" s="6" t="s">
        <v>2168</v>
      </c>
      <c r="G541" s="6" t="s">
        <v>2408</v>
      </c>
      <c r="H541" s="6" t="s">
        <v>2409</v>
      </c>
      <c r="I541" s="6" t="s">
        <v>2411</v>
      </c>
      <c r="J541" s="15" t="s">
        <v>3894</v>
      </c>
      <c r="K541" s="15">
        <v>29290</v>
      </c>
      <c r="L541" s="6" t="s">
        <v>2419</v>
      </c>
      <c r="M541" s="6" t="s">
        <v>2946</v>
      </c>
      <c r="N541" s="6" t="s">
        <v>3371</v>
      </c>
      <c r="O541" s="6" t="s">
        <v>3382</v>
      </c>
      <c r="P541" s="6" t="s">
        <v>3415</v>
      </c>
      <c r="Q541" s="6">
        <v>4138.2700000000004</v>
      </c>
      <c r="R541" s="15">
        <v>7</v>
      </c>
      <c r="S541" s="20">
        <v>0.74</v>
      </c>
      <c r="T541" s="15">
        <v>2201.4499999999998</v>
      </c>
    </row>
    <row r="542" spans="1:20" x14ac:dyDescent="0.3">
      <c r="A542" s="7" t="s">
        <v>560</v>
      </c>
      <c r="B542" s="13">
        <v>43692.891886574071</v>
      </c>
      <c r="C542" s="13">
        <v>43693.891891891893</v>
      </c>
      <c r="D542" s="8" t="s">
        <v>1023</v>
      </c>
      <c r="E542" s="8" t="s">
        <v>1542</v>
      </c>
      <c r="F542" s="8" t="s">
        <v>2300</v>
      </c>
      <c r="G542" s="8" t="s">
        <v>2406</v>
      </c>
      <c r="H542" s="8" t="s">
        <v>2409</v>
      </c>
      <c r="I542" s="8" t="s">
        <v>2414</v>
      </c>
      <c r="J542" s="16" t="s">
        <v>3893</v>
      </c>
      <c r="K542" s="16">
        <v>50853</v>
      </c>
      <c r="L542" s="8" t="s">
        <v>2421</v>
      </c>
      <c r="M542" s="8" t="s">
        <v>2947</v>
      </c>
      <c r="N542" s="8" t="s">
        <v>3372</v>
      </c>
      <c r="O542" s="8" t="s">
        <v>3378</v>
      </c>
      <c r="P542" s="8" t="s">
        <v>3423</v>
      </c>
      <c r="Q542" s="8">
        <v>4849.32</v>
      </c>
      <c r="R542" s="16">
        <v>4</v>
      </c>
      <c r="S542" s="21">
        <v>0.49</v>
      </c>
      <c r="T542" s="16">
        <v>764.66</v>
      </c>
    </row>
    <row r="543" spans="1:20" x14ac:dyDescent="0.3">
      <c r="A543" s="5" t="s">
        <v>561</v>
      </c>
      <c r="B543" s="12">
        <v>43693.987986111111</v>
      </c>
      <c r="C543" s="12">
        <v>43694.987987987988</v>
      </c>
      <c r="D543" s="6" t="s">
        <v>1021</v>
      </c>
      <c r="E543" s="6" t="s">
        <v>1543</v>
      </c>
      <c r="F543" s="6" t="s">
        <v>2266</v>
      </c>
      <c r="G543" s="6" t="s">
        <v>2406</v>
      </c>
      <c r="H543" s="6" t="s">
        <v>2409</v>
      </c>
      <c r="I543" s="6" t="s">
        <v>2411</v>
      </c>
      <c r="J543" s="15" t="s">
        <v>2410</v>
      </c>
      <c r="K543" s="15">
        <v>21657</v>
      </c>
      <c r="L543" s="6" t="s">
        <v>2422</v>
      </c>
      <c r="M543" s="6" t="s">
        <v>2948</v>
      </c>
      <c r="N543" s="6" t="s">
        <v>3371</v>
      </c>
      <c r="O543" s="6" t="s">
        <v>3375</v>
      </c>
      <c r="P543" s="6" t="s">
        <v>3473</v>
      </c>
      <c r="Q543" s="6">
        <v>2340.91</v>
      </c>
      <c r="R543" s="15">
        <v>3</v>
      </c>
      <c r="S543" s="20">
        <v>0.41</v>
      </c>
      <c r="T543" s="15">
        <v>796.75</v>
      </c>
    </row>
    <row r="544" spans="1:20" x14ac:dyDescent="0.3">
      <c r="A544" s="7" t="s">
        <v>562</v>
      </c>
      <c r="B544" s="13">
        <v>43695.084085648145</v>
      </c>
      <c r="C544" s="13">
        <v>43700.084084084083</v>
      </c>
      <c r="D544" s="8" t="s">
        <v>1023</v>
      </c>
      <c r="E544" s="8" t="s">
        <v>1544</v>
      </c>
      <c r="F544" s="8" t="s">
        <v>2286</v>
      </c>
      <c r="G544" s="8" t="s">
        <v>2406</v>
      </c>
      <c r="H544" s="8" t="s">
        <v>2409</v>
      </c>
      <c r="I544" s="8" t="s">
        <v>2418</v>
      </c>
      <c r="J544" s="16" t="s">
        <v>3896</v>
      </c>
      <c r="K544" s="16">
        <v>86494</v>
      </c>
      <c r="L544" s="8" t="s">
        <v>2420</v>
      </c>
      <c r="M544" s="8" t="s">
        <v>2949</v>
      </c>
      <c r="N544" s="8" t="s">
        <v>3372</v>
      </c>
      <c r="O544" s="8" t="s">
        <v>3378</v>
      </c>
      <c r="P544" s="8" t="s">
        <v>3602</v>
      </c>
      <c r="Q544" s="8">
        <v>4039.37</v>
      </c>
      <c r="R544" s="16">
        <v>5</v>
      </c>
      <c r="S544" s="21">
        <v>0.04</v>
      </c>
      <c r="T544" s="16">
        <v>1645.39</v>
      </c>
    </row>
    <row r="545" spans="1:20" x14ac:dyDescent="0.3">
      <c r="A545" s="5" t="s">
        <v>563</v>
      </c>
      <c r="B545" s="12">
        <v>43696.180185185185</v>
      </c>
      <c r="C545" s="12">
        <v>43700.18018018017</v>
      </c>
      <c r="D545" s="6" t="s">
        <v>1021</v>
      </c>
      <c r="E545" s="6" t="s">
        <v>1545</v>
      </c>
      <c r="F545" s="6" t="s">
        <v>2301</v>
      </c>
      <c r="G545" s="6" t="s">
        <v>2407</v>
      </c>
      <c r="H545" s="6" t="s">
        <v>2409</v>
      </c>
      <c r="I545" s="6" t="s">
        <v>2413</v>
      </c>
      <c r="J545" s="15" t="s">
        <v>3892</v>
      </c>
      <c r="K545" s="15">
        <v>16437</v>
      </c>
      <c r="L545" s="6" t="s">
        <v>2421</v>
      </c>
      <c r="M545" s="6" t="s">
        <v>2950</v>
      </c>
      <c r="N545" s="6" t="s">
        <v>3372</v>
      </c>
      <c r="O545" s="6" t="s">
        <v>3377</v>
      </c>
      <c r="P545" s="6" t="s">
        <v>3747</v>
      </c>
      <c r="Q545" s="6">
        <v>384.46</v>
      </c>
      <c r="R545" s="15">
        <v>11</v>
      </c>
      <c r="S545" s="20">
        <v>0.52</v>
      </c>
      <c r="T545" s="15">
        <v>-68.599999999999994</v>
      </c>
    </row>
    <row r="546" spans="1:20" x14ac:dyDescent="0.3">
      <c r="A546" s="7" t="s">
        <v>564</v>
      </c>
      <c r="B546" s="13">
        <v>43697.276273148149</v>
      </c>
      <c r="C546" s="13">
        <v>43703.276276276272</v>
      </c>
      <c r="D546" s="8" t="s">
        <v>1021</v>
      </c>
      <c r="E546" s="8" t="s">
        <v>1546</v>
      </c>
      <c r="F546" s="8" t="s">
        <v>2243</v>
      </c>
      <c r="G546" s="8" t="s">
        <v>2407</v>
      </c>
      <c r="H546" s="8" t="s">
        <v>2409</v>
      </c>
      <c r="I546" s="8" t="s">
        <v>2416</v>
      </c>
      <c r="J546" s="16" t="s">
        <v>3892</v>
      </c>
      <c r="K546" s="16">
        <v>97027</v>
      </c>
      <c r="L546" s="8" t="s">
        <v>2421</v>
      </c>
      <c r="M546" s="8" t="s">
        <v>2951</v>
      </c>
      <c r="N546" s="8" t="s">
        <v>3373</v>
      </c>
      <c r="O546" s="8" t="s">
        <v>3379</v>
      </c>
      <c r="P546" s="8" t="s">
        <v>3651</v>
      </c>
      <c r="Q546" s="8">
        <v>4599.8500000000004</v>
      </c>
      <c r="R546" s="16">
        <v>14</v>
      </c>
      <c r="S546" s="21">
        <v>0.74</v>
      </c>
      <c r="T546" s="16">
        <v>-744.88</v>
      </c>
    </row>
    <row r="547" spans="1:20" x14ac:dyDescent="0.3">
      <c r="A547" s="5" t="s">
        <v>565</v>
      </c>
      <c r="B547" s="12">
        <v>43698.372372685182</v>
      </c>
      <c r="C547" s="12">
        <v>43703.37237237236</v>
      </c>
      <c r="D547" s="6" t="s">
        <v>1021</v>
      </c>
      <c r="E547" s="6" t="s">
        <v>1547</v>
      </c>
      <c r="F547" s="6" t="s">
        <v>2160</v>
      </c>
      <c r="G547" s="6" t="s">
        <v>2406</v>
      </c>
      <c r="H547" s="6" t="s">
        <v>2409</v>
      </c>
      <c r="I547" s="6" t="s">
        <v>2414</v>
      </c>
      <c r="J547" s="15" t="s">
        <v>3891</v>
      </c>
      <c r="K547" s="15">
        <v>44107</v>
      </c>
      <c r="L547" s="6" t="s">
        <v>2420</v>
      </c>
      <c r="M547" s="6" t="s">
        <v>2952</v>
      </c>
      <c r="N547" s="6" t="s">
        <v>3373</v>
      </c>
      <c r="O547" s="6" t="s">
        <v>3385</v>
      </c>
      <c r="P547" s="6" t="s">
        <v>3730</v>
      </c>
      <c r="Q547" s="6">
        <v>3812.21</v>
      </c>
      <c r="R547" s="15">
        <v>9</v>
      </c>
      <c r="S547" s="20">
        <v>0.31</v>
      </c>
      <c r="T547" s="15">
        <v>1284.8800000000001</v>
      </c>
    </row>
    <row r="548" spans="1:20" x14ac:dyDescent="0.3">
      <c r="A548" s="7" t="s">
        <v>566</v>
      </c>
      <c r="B548" s="13">
        <v>43699.468472222223</v>
      </c>
      <c r="C548" s="13">
        <v>43702.468468468462</v>
      </c>
      <c r="D548" s="8" t="s">
        <v>1022</v>
      </c>
      <c r="E548" s="8" t="s">
        <v>1548</v>
      </c>
      <c r="F548" s="8" t="s">
        <v>2302</v>
      </c>
      <c r="G548" s="8" t="s">
        <v>2407</v>
      </c>
      <c r="H548" s="8" t="s">
        <v>2409</v>
      </c>
      <c r="I548" s="8" t="s">
        <v>2413</v>
      </c>
      <c r="J548" s="16" t="s">
        <v>3892</v>
      </c>
      <c r="K548" s="16">
        <v>57999</v>
      </c>
      <c r="L548" s="8" t="s">
        <v>2419</v>
      </c>
      <c r="M548" s="8" t="s">
        <v>2953</v>
      </c>
      <c r="N548" s="8" t="s">
        <v>3371</v>
      </c>
      <c r="O548" s="8" t="s">
        <v>3374</v>
      </c>
      <c r="P548" s="8" t="s">
        <v>3748</v>
      </c>
      <c r="Q548" s="8">
        <v>2217.8200000000002</v>
      </c>
      <c r="R548" s="16">
        <v>6</v>
      </c>
      <c r="S548" s="21">
        <v>0.33</v>
      </c>
      <c r="T548" s="16">
        <v>-40.21</v>
      </c>
    </row>
    <row r="549" spans="1:20" x14ac:dyDescent="0.3">
      <c r="A549" s="5" t="s">
        <v>567</v>
      </c>
      <c r="B549" s="12">
        <v>43700.564560185187</v>
      </c>
      <c r="C549" s="12">
        <v>43703.564564564564</v>
      </c>
      <c r="D549" s="6" t="s">
        <v>1021</v>
      </c>
      <c r="E549" s="6" t="s">
        <v>1549</v>
      </c>
      <c r="F549" s="6" t="s">
        <v>2029</v>
      </c>
      <c r="G549" s="6" t="s">
        <v>2407</v>
      </c>
      <c r="H549" s="6" t="s">
        <v>2409</v>
      </c>
      <c r="I549" s="6" t="s">
        <v>2418</v>
      </c>
      <c r="J549" s="15" t="s">
        <v>3895</v>
      </c>
      <c r="K549" s="15">
        <v>61559</v>
      </c>
      <c r="L549" s="6" t="s">
        <v>2421</v>
      </c>
      <c r="M549" s="6" t="s">
        <v>2954</v>
      </c>
      <c r="N549" s="6" t="s">
        <v>3371</v>
      </c>
      <c r="O549" s="6" t="s">
        <v>3383</v>
      </c>
      <c r="P549" s="6" t="s">
        <v>3499</v>
      </c>
      <c r="Q549" s="6">
        <v>2309.0700000000002</v>
      </c>
      <c r="R549" s="15">
        <v>5</v>
      </c>
      <c r="S549" s="20">
        <v>0.16</v>
      </c>
      <c r="T549" s="15">
        <v>913.62</v>
      </c>
    </row>
    <row r="550" spans="1:20" x14ac:dyDescent="0.3">
      <c r="A550" s="7" t="s">
        <v>568</v>
      </c>
      <c r="B550" s="13">
        <v>43701.66065972222</v>
      </c>
      <c r="C550" s="13">
        <v>43705.660660660658</v>
      </c>
      <c r="D550" s="8" t="s">
        <v>1021</v>
      </c>
      <c r="E550" s="8" t="s">
        <v>1550</v>
      </c>
      <c r="F550" s="8" t="s">
        <v>2177</v>
      </c>
      <c r="G550" s="8" t="s">
        <v>2407</v>
      </c>
      <c r="H550" s="8" t="s">
        <v>2409</v>
      </c>
      <c r="I550" s="8" t="s">
        <v>2410</v>
      </c>
      <c r="J550" s="16" t="s">
        <v>3898</v>
      </c>
      <c r="K550" s="16">
        <v>88127</v>
      </c>
      <c r="L550" s="8" t="s">
        <v>2422</v>
      </c>
      <c r="M550" s="8" t="s">
        <v>2955</v>
      </c>
      <c r="N550" s="8" t="s">
        <v>3371</v>
      </c>
      <c r="O550" s="8" t="s">
        <v>3374</v>
      </c>
      <c r="P550" s="8" t="s">
        <v>3507</v>
      </c>
      <c r="Q550" s="8">
        <v>3222.42</v>
      </c>
      <c r="R550" s="16">
        <v>13</v>
      </c>
      <c r="S550" s="21">
        <v>0.15</v>
      </c>
      <c r="T550" s="16">
        <v>384.43</v>
      </c>
    </row>
    <row r="551" spans="1:20" x14ac:dyDescent="0.3">
      <c r="A551" s="5" t="s">
        <v>569</v>
      </c>
      <c r="B551" s="12">
        <v>43702.75675925926</v>
      </c>
      <c r="C551" s="12">
        <v>43708.756756756753</v>
      </c>
      <c r="D551" s="6" t="s">
        <v>1020</v>
      </c>
      <c r="E551" s="6" t="s">
        <v>1551</v>
      </c>
      <c r="F551" s="6" t="s">
        <v>2303</v>
      </c>
      <c r="G551" s="6" t="s">
        <v>2407</v>
      </c>
      <c r="H551" s="6" t="s">
        <v>2409</v>
      </c>
      <c r="I551" s="6" t="s">
        <v>2413</v>
      </c>
      <c r="J551" s="15" t="s">
        <v>3893</v>
      </c>
      <c r="K551" s="15">
        <v>32010</v>
      </c>
      <c r="L551" s="6" t="s">
        <v>2419</v>
      </c>
      <c r="M551" s="6" t="s">
        <v>2956</v>
      </c>
      <c r="N551" s="6" t="s">
        <v>3373</v>
      </c>
      <c r="O551" s="6" t="s">
        <v>3381</v>
      </c>
      <c r="P551" s="6" t="s">
        <v>3584</v>
      </c>
      <c r="Q551" s="6">
        <v>964.27</v>
      </c>
      <c r="R551" s="15">
        <v>6</v>
      </c>
      <c r="S551" s="20">
        <v>0.53</v>
      </c>
      <c r="T551" s="15">
        <v>-71.209999999999994</v>
      </c>
    </row>
    <row r="552" spans="1:20" x14ac:dyDescent="0.3">
      <c r="A552" s="7" t="s">
        <v>570</v>
      </c>
      <c r="B552" s="13">
        <v>43703.852847222224</v>
      </c>
      <c r="C552" s="13">
        <v>43705.852852852848</v>
      </c>
      <c r="D552" s="8" t="s">
        <v>1020</v>
      </c>
      <c r="E552" s="8" t="s">
        <v>1552</v>
      </c>
      <c r="F552" s="8" t="s">
        <v>2304</v>
      </c>
      <c r="G552" s="8" t="s">
        <v>2406</v>
      </c>
      <c r="H552" s="8" t="s">
        <v>2409</v>
      </c>
      <c r="I552" s="8" t="s">
        <v>2413</v>
      </c>
      <c r="J552" s="16" t="s">
        <v>3894</v>
      </c>
      <c r="K552" s="16">
        <v>42407</v>
      </c>
      <c r="L552" s="8" t="s">
        <v>2420</v>
      </c>
      <c r="M552" s="8" t="s">
        <v>2957</v>
      </c>
      <c r="N552" s="8" t="s">
        <v>3371</v>
      </c>
      <c r="O552" s="8" t="s">
        <v>3375</v>
      </c>
      <c r="P552" s="8" t="s">
        <v>3386</v>
      </c>
      <c r="Q552" s="8">
        <v>2045.48</v>
      </c>
      <c r="R552" s="16">
        <v>10</v>
      </c>
      <c r="S552" s="21">
        <v>0.51</v>
      </c>
      <c r="T552" s="16">
        <v>-324.26</v>
      </c>
    </row>
    <row r="553" spans="1:20" x14ac:dyDescent="0.3">
      <c r="A553" s="5" t="s">
        <v>571</v>
      </c>
      <c r="B553" s="12">
        <v>43704.948946759258</v>
      </c>
      <c r="C553" s="12">
        <v>43710.94894894895</v>
      </c>
      <c r="D553" s="6" t="s">
        <v>1021</v>
      </c>
      <c r="E553" s="6" t="s">
        <v>1553</v>
      </c>
      <c r="F553" s="6" t="s">
        <v>2277</v>
      </c>
      <c r="G553" s="6" t="s">
        <v>2406</v>
      </c>
      <c r="H553" s="6" t="s">
        <v>2409</v>
      </c>
      <c r="I553" s="6" t="s">
        <v>2411</v>
      </c>
      <c r="J553" s="15" t="s">
        <v>3892</v>
      </c>
      <c r="K553" s="15">
        <v>19576</v>
      </c>
      <c r="L553" s="6" t="s">
        <v>2421</v>
      </c>
      <c r="M553" s="6" t="s">
        <v>2958</v>
      </c>
      <c r="N553" s="6" t="s">
        <v>3371</v>
      </c>
      <c r="O553" s="6" t="s">
        <v>3382</v>
      </c>
      <c r="P553" s="6" t="s">
        <v>3749</v>
      </c>
      <c r="Q553" s="6">
        <v>4703.3900000000003</v>
      </c>
      <c r="R553" s="15">
        <v>14</v>
      </c>
      <c r="S553" s="20">
        <v>0.78</v>
      </c>
      <c r="T553" s="15">
        <v>2625.45</v>
      </c>
    </row>
    <row r="554" spans="1:20" x14ac:dyDescent="0.3">
      <c r="A554" s="7" t="s">
        <v>572</v>
      </c>
      <c r="B554" s="13">
        <v>43706.045046296298</v>
      </c>
      <c r="C554" s="13">
        <v>43710.045045045037</v>
      </c>
      <c r="D554" s="8" t="s">
        <v>1023</v>
      </c>
      <c r="E554" s="8" t="s">
        <v>1554</v>
      </c>
      <c r="F554" s="8" t="s">
        <v>2138</v>
      </c>
      <c r="G554" s="8" t="s">
        <v>2407</v>
      </c>
      <c r="H554" s="8" t="s">
        <v>2409</v>
      </c>
      <c r="I554" s="8" t="s">
        <v>2417</v>
      </c>
      <c r="J554" s="16" t="s">
        <v>3898</v>
      </c>
      <c r="K554" s="16">
        <v>44271</v>
      </c>
      <c r="L554" s="8" t="s">
        <v>2422</v>
      </c>
      <c r="M554" s="8" t="s">
        <v>2959</v>
      </c>
      <c r="N554" s="8" t="s">
        <v>3372</v>
      </c>
      <c r="O554" s="8" t="s">
        <v>3384</v>
      </c>
      <c r="P554" s="8" t="s">
        <v>3507</v>
      </c>
      <c r="Q554" s="8">
        <v>3492.04</v>
      </c>
      <c r="R554" s="16">
        <v>6</v>
      </c>
      <c r="S554" s="21">
        <v>0.85</v>
      </c>
      <c r="T554" s="16">
        <v>1789.45</v>
      </c>
    </row>
    <row r="555" spans="1:20" x14ac:dyDescent="0.3">
      <c r="A555" s="5" t="s">
        <v>573</v>
      </c>
      <c r="B555" s="12">
        <v>43707.141145833331</v>
      </c>
      <c r="C555" s="12">
        <v>43711.141141141132</v>
      </c>
      <c r="D555" s="6" t="s">
        <v>1021</v>
      </c>
      <c r="E555" s="6" t="s">
        <v>1555</v>
      </c>
      <c r="F555" s="6" t="s">
        <v>2305</v>
      </c>
      <c r="G555" s="6" t="s">
        <v>2408</v>
      </c>
      <c r="H555" s="6" t="s">
        <v>2409</v>
      </c>
      <c r="I555" s="6" t="s">
        <v>2414</v>
      </c>
      <c r="J555" s="15" t="s">
        <v>3896</v>
      </c>
      <c r="K555" s="15">
        <v>57168</v>
      </c>
      <c r="L555" s="6" t="s">
        <v>2421</v>
      </c>
      <c r="M555" s="6" t="s">
        <v>2960</v>
      </c>
      <c r="N555" s="6" t="s">
        <v>3372</v>
      </c>
      <c r="O555" s="6" t="s">
        <v>3384</v>
      </c>
      <c r="P555" s="6" t="s">
        <v>3750</v>
      </c>
      <c r="Q555" s="6">
        <v>2515.69</v>
      </c>
      <c r="R555" s="15">
        <v>14</v>
      </c>
      <c r="S555" s="20">
        <v>0.64</v>
      </c>
      <c r="T555" s="15">
        <v>-161.29</v>
      </c>
    </row>
    <row r="556" spans="1:20" x14ac:dyDescent="0.3">
      <c r="A556" s="7" t="s">
        <v>574</v>
      </c>
      <c r="B556" s="13">
        <v>43708.237233796295</v>
      </c>
      <c r="C556" s="13">
        <v>43713.237237237227</v>
      </c>
      <c r="D556" s="8" t="s">
        <v>1021</v>
      </c>
      <c r="E556" s="8" t="s">
        <v>1556</v>
      </c>
      <c r="F556" s="8" t="s">
        <v>2306</v>
      </c>
      <c r="G556" s="8" t="s">
        <v>2408</v>
      </c>
      <c r="H556" s="8" t="s">
        <v>2409</v>
      </c>
      <c r="I556" s="8" t="s">
        <v>2414</v>
      </c>
      <c r="J556" s="16" t="s">
        <v>3891</v>
      </c>
      <c r="K556" s="16">
        <v>77815</v>
      </c>
      <c r="L556" s="8" t="s">
        <v>2420</v>
      </c>
      <c r="M556" s="8" t="s">
        <v>2554</v>
      </c>
      <c r="N556" s="8" t="s">
        <v>3371</v>
      </c>
      <c r="O556" s="8" t="s">
        <v>3382</v>
      </c>
      <c r="P556" s="8" t="s">
        <v>3415</v>
      </c>
      <c r="Q556" s="8">
        <v>681.16</v>
      </c>
      <c r="R556" s="16">
        <v>6</v>
      </c>
      <c r="S556" s="21">
        <v>0.52</v>
      </c>
      <c r="T556" s="16">
        <v>-88.56</v>
      </c>
    </row>
    <row r="557" spans="1:20" x14ac:dyDescent="0.3">
      <c r="A557" s="5" t="s">
        <v>575</v>
      </c>
      <c r="B557" s="12">
        <v>43709.333333333336</v>
      </c>
      <c r="C557" s="12">
        <v>43715.333333333343</v>
      </c>
      <c r="D557" s="6" t="s">
        <v>1023</v>
      </c>
      <c r="E557" s="6" t="s">
        <v>1557</v>
      </c>
      <c r="F557" s="6" t="s">
        <v>2307</v>
      </c>
      <c r="G557" s="6" t="s">
        <v>2407</v>
      </c>
      <c r="H557" s="6" t="s">
        <v>2409</v>
      </c>
      <c r="I557" s="6" t="s">
        <v>2418</v>
      </c>
      <c r="J557" s="15" t="s">
        <v>3894</v>
      </c>
      <c r="K557" s="15">
        <v>47714</v>
      </c>
      <c r="L557" s="6" t="s">
        <v>2421</v>
      </c>
      <c r="M557" s="6" t="s">
        <v>2961</v>
      </c>
      <c r="N557" s="6" t="s">
        <v>3372</v>
      </c>
      <c r="O557" s="6" t="s">
        <v>3376</v>
      </c>
      <c r="P557" s="6" t="s">
        <v>3733</v>
      </c>
      <c r="Q557" s="6">
        <v>2828.69</v>
      </c>
      <c r="R557" s="15">
        <v>5</v>
      </c>
      <c r="S557" s="20">
        <v>0.82</v>
      </c>
      <c r="T557" s="15">
        <v>1662.78</v>
      </c>
    </row>
    <row r="558" spans="1:20" x14ac:dyDescent="0.3">
      <c r="A558" s="7" t="s">
        <v>576</v>
      </c>
      <c r="B558" s="13">
        <v>43710.429432870369</v>
      </c>
      <c r="C558" s="13">
        <v>43714.429429429423</v>
      </c>
      <c r="D558" s="8" t="s">
        <v>1023</v>
      </c>
      <c r="E558" s="8" t="s">
        <v>1558</v>
      </c>
      <c r="F558" s="8" t="s">
        <v>2202</v>
      </c>
      <c r="G558" s="8" t="s">
        <v>2407</v>
      </c>
      <c r="H558" s="8" t="s">
        <v>2409</v>
      </c>
      <c r="I558" s="8" t="s">
        <v>2415</v>
      </c>
      <c r="J558" s="16" t="s">
        <v>3893</v>
      </c>
      <c r="K558" s="16">
        <v>82102</v>
      </c>
      <c r="L558" s="8" t="s">
        <v>2422</v>
      </c>
      <c r="M558" s="8" t="s">
        <v>2962</v>
      </c>
      <c r="N558" s="8" t="s">
        <v>3373</v>
      </c>
      <c r="O558" s="8" t="s">
        <v>3379</v>
      </c>
      <c r="P558" s="8" t="s">
        <v>3751</v>
      </c>
      <c r="Q558" s="8">
        <v>231.7</v>
      </c>
      <c r="R558" s="16">
        <v>2</v>
      </c>
      <c r="S558" s="21">
        <v>0.73</v>
      </c>
      <c r="T558" s="16">
        <v>49.36</v>
      </c>
    </row>
    <row r="559" spans="1:20" x14ac:dyDescent="0.3">
      <c r="A559" s="5" t="s">
        <v>577</v>
      </c>
      <c r="B559" s="12">
        <v>43711.525520833333</v>
      </c>
      <c r="C559" s="12">
        <v>43712.525525525518</v>
      </c>
      <c r="D559" s="6" t="s">
        <v>1020</v>
      </c>
      <c r="E559" s="6" t="s">
        <v>1559</v>
      </c>
      <c r="F559" s="6" t="s">
        <v>2253</v>
      </c>
      <c r="G559" s="6" t="s">
        <v>2408</v>
      </c>
      <c r="H559" s="6" t="s">
        <v>2409</v>
      </c>
      <c r="I559" s="6" t="s">
        <v>2418</v>
      </c>
      <c r="J559" s="15" t="s">
        <v>3891</v>
      </c>
      <c r="K559" s="15">
        <v>28428</v>
      </c>
      <c r="L559" s="6" t="s">
        <v>2419</v>
      </c>
      <c r="M559" s="6" t="s">
        <v>2963</v>
      </c>
      <c r="N559" s="6" t="s">
        <v>3371</v>
      </c>
      <c r="O559" s="6" t="s">
        <v>3382</v>
      </c>
      <c r="P559" s="6" t="s">
        <v>3615</v>
      </c>
      <c r="Q559" s="6">
        <v>278.91000000000003</v>
      </c>
      <c r="R559" s="15">
        <v>4</v>
      </c>
      <c r="S559" s="20">
        <v>0.82</v>
      </c>
      <c r="T559" s="15">
        <v>-26.68</v>
      </c>
    </row>
    <row r="560" spans="1:20" x14ac:dyDescent="0.3">
      <c r="A560" s="7" t="s">
        <v>578</v>
      </c>
      <c r="B560" s="13">
        <v>43712.621620370373</v>
      </c>
      <c r="C560" s="13">
        <v>43717.62162162162</v>
      </c>
      <c r="D560" s="8" t="s">
        <v>1022</v>
      </c>
      <c r="E560" s="8" t="s">
        <v>1560</v>
      </c>
      <c r="F560" s="8" t="s">
        <v>2308</v>
      </c>
      <c r="G560" s="8" t="s">
        <v>2406</v>
      </c>
      <c r="H560" s="8" t="s">
        <v>2409</v>
      </c>
      <c r="I560" s="8" t="s">
        <v>2418</v>
      </c>
      <c r="J560" s="16" t="s">
        <v>3898</v>
      </c>
      <c r="K560" s="16">
        <v>47030</v>
      </c>
      <c r="L560" s="8" t="s">
        <v>2420</v>
      </c>
      <c r="M560" s="8" t="s">
        <v>2964</v>
      </c>
      <c r="N560" s="8" t="s">
        <v>3371</v>
      </c>
      <c r="O560" s="8" t="s">
        <v>3382</v>
      </c>
      <c r="P560" s="8" t="s">
        <v>3386</v>
      </c>
      <c r="Q560" s="8">
        <v>1079.51</v>
      </c>
      <c r="R560" s="16">
        <v>8</v>
      </c>
      <c r="S560" s="21">
        <v>0.3</v>
      </c>
      <c r="T560" s="16">
        <v>533.19000000000005</v>
      </c>
    </row>
    <row r="561" spans="1:20" x14ac:dyDescent="0.3">
      <c r="A561" s="5" t="s">
        <v>579</v>
      </c>
      <c r="B561" s="12">
        <v>43713.717719907407</v>
      </c>
      <c r="C561" s="12">
        <v>43717.717717717707</v>
      </c>
      <c r="D561" s="6" t="s">
        <v>1022</v>
      </c>
      <c r="E561" s="6" t="s">
        <v>1561</v>
      </c>
      <c r="F561" s="6" t="s">
        <v>2026</v>
      </c>
      <c r="G561" s="6" t="s">
        <v>2406</v>
      </c>
      <c r="H561" s="6" t="s">
        <v>2409</v>
      </c>
      <c r="I561" s="6" t="s">
        <v>2410</v>
      </c>
      <c r="J561" s="15" t="s">
        <v>3898</v>
      </c>
      <c r="K561" s="15">
        <v>32312</v>
      </c>
      <c r="L561" s="6" t="s">
        <v>2421</v>
      </c>
      <c r="M561" s="6" t="s">
        <v>2965</v>
      </c>
      <c r="N561" s="6" t="s">
        <v>3372</v>
      </c>
      <c r="O561" s="6" t="s">
        <v>3384</v>
      </c>
      <c r="P561" s="6" t="s">
        <v>3629</v>
      </c>
      <c r="Q561" s="6">
        <v>2210.2800000000002</v>
      </c>
      <c r="R561" s="15">
        <v>8</v>
      </c>
      <c r="S561" s="20">
        <v>0.41</v>
      </c>
      <c r="T561" s="15">
        <v>504.85</v>
      </c>
    </row>
    <row r="562" spans="1:20" x14ac:dyDescent="0.3">
      <c r="A562" s="7" t="s">
        <v>580</v>
      </c>
      <c r="B562" s="13">
        <v>43714.813819444447</v>
      </c>
      <c r="C562" s="13">
        <v>43718.813813813809</v>
      </c>
      <c r="D562" s="8" t="s">
        <v>1023</v>
      </c>
      <c r="E562" s="8" t="s">
        <v>1033</v>
      </c>
      <c r="F562" s="8" t="s">
        <v>2309</v>
      </c>
      <c r="G562" s="8" t="s">
        <v>2406</v>
      </c>
      <c r="H562" s="8" t="s">
        <v>2409</v>
      </c>
      <c r="I562" s="8" t="s">
        <v>2415</v>
      </c>
      <c r="J562" s="16" t="s">
        <v>3895</v>
      </c>
      <c r="K562" s="16">
        <v>84557</v>
      </c>
      <c r="L562" s="8" t="s">
        <v>2421</v>
      </c>
      <c r="M562" s="8" t="s">
        <v>2966</v>
      </c>
      <c r="N562" s="8" t="s">
        <v>3371</v>
      </c>
      <c r="O562" s="8" t="s">
        <v>3383</v>
      </c>
      <c r="P562" s="8" t="s">
        <v>3573</v>
      </c>
      <c r="Q562" s="8">
        <v>611.96</v>
      </c>
      <c r="R562" s="16">
        <v>13</v>
      </c>
      <c r="S562" s="21">
        <v>0.16</v>
      </c>
      <c r="T562" s="16">
        <v>-100.38</v>
      </c>
    </row>
    <row r="563" spans="1:20" x14ac:dyDescent="0.3">
      <c r="A563" s="5" t="s">
        <v>581</v>
      </c>
      <c r="B563" s="12">
        <v>43715.909907407404</v>
      </c>
      <c r="C563" s="12">
        <v>43716.909909909897</v>
      </c>
      <c r="D563" s="6" t="s">
        <v>1021</v>
      </c>
      <c r="E563" s="6" t="s">
        <v>1562</v>
      </c>
      <c r="F563" s="6" t="s">
        <v>2310</v>
      </c>
      <c r="G563" s="6" t="s">
        <v>2407</v>
      </c>
      <c r="H563" s="6" t="s">
        <v>2409</v>
      </c>
      <c r="I563" s="6" t="s">
        <v>2411</v>
      </c>
      <c r="J563" s="15" t="s">
        <v>3895</v>
      </c>
      <c r="K563" s="15">
        <v>33527</v>
      </c>
      <c r="L563" s="6" t="s">
        <v>2419</v>
      </c>
      <c r="M563" s="6" t="s">
        <v>2967</v>
      </c>
      <c r="N563" s="6" t="s">
        <v>3371</v>
      </c>
      <c r="O563" s="6" t="s">
        <v>3382</v>
      </c>
      <c r="P563" s="6" t="s">
        <v>3519</v>
      </c>
      <c r="Q563" s="6">
        <v>2538.2800000000002</v>
      </c>
      <c r="R563" s="15">
        <v>1</v>
      </c>
      <c r="S563" s="20">
        <v>0.73</v>
      </c>
      <c r="T563" s="15">
        <v>535.34</v>
      </c>
    </row>
    <row r="564" spans="1:20" x14ac:dyDescent="0.3">
      <c r="A564" s="7" t="s">
        <v>582</v>
      </c>
      <c r="B564" s="13">
        <v>43717.006006944444</v>
      </c>
      <c r="C564" s="13">
        <v>43722.006006005999</v>
      </c>
      <c r="D564" s="8" t="s">
        <v>1022</v>
      </c>
      <c r="E564" s="8" t="s">
        <v>1563</v>
      </c>
      <c r="F564" s="8" t="s">
        <v>2258</v>
      </c>
      <c r="G564" s="8" t="s">
        <v>2407</v>
      </c>
      <c r="H564" s="8" t="s">
        <v>2409</v>
      </c>
      <c r="I564" s="8" t="s">
        <v>2413</v>
      </c>
      <c r="J564" s="16" t="s">
        <v>3895</v>
      </c>
      <c r="K564" s="16">
        <v>69202</v>
      </c>
      <c r="L564" s="8" t="s">
        <v>2422</v>
      </c>
      <c r="M564" s="8" t="s">
        <v>2968</v>
      </c>
      <c r="N564" s="8" t="s">
        <v>3371</v>
      </c>
      <c r="O564" s="8" t="s">
        <v>3382</v>
      </c>
      <c r="P564" s="8" t="s">
        <v>3752</v>
      </c>
      <c r="Q564" s="8">
        <v>3381.52</v>
      </c>
      <c r="R564" s="16">
        <v>8</v>
      </c>
      <c r="S564" s="21">
        <v>0.1</v>
      </c>
      <c r="T564" s="16">
        <v>203.77</v>
      </c>
    </row>
    <row r="565" spans="1:20" x14ac:dyDescent="0.3">
      <c r="A565" s="5" t="s">
        <v>583</v>
      </c>
      <c r="B565" s="12">
        <v>43718.102106481485</v>
      </c>
      <c r="C565" s="12">
        <v>43724.102102102093</v>
      </c>
      <c r="D565" s="6" t="s">
        <v>1022</v>
      </c>
      <c r="E565" s="6" t="s">
        <v>1505</v>
      </c>
      <c r="F565" s="6" t="s">
        <v>2110</v>
      </c>
      <c r="G565" s="6" t="s">
        <v>2406</v>
      </c>
      <c r="H565" s="6" t="s">
        <v>2409</v>
      </c>
      <c r="I565" s="6" t="s">
        <v>2417</v>
      </c>
      <c r="J565" s="15" t="s">
        <v>3893</v>
      </c>
      <c r="K565" s="15">
        <v>65605</v>
      </c>
      <c r="L565" s="6" t="s">
        <v>2419</v>
      </c>
      <c r="M565" s="6" t="s">
        <v>2969</v>
      </c>
      <c r="N565" s="6" t="s">
        <v>3372</v>
      </c>
      <c r="O565" s="6" t="s">
        <v>3376</v>
      </c>
      <c r="P565" s="6" t="s">
        <v>3568</v>
      </c>
      <c r="Q565" s="6">
        <v>4995.25</v>
      </c>
      <c r="R565" s="15">
        <v>13</v>
      </c>
      <c r="S565" s="20">
        <v>0.73</v>
      </c>
      <c r="T565" s="15">
        <v>-50.28</v>
      </c>
    </row>
    <row r="566" spans="1:20" x14ac:dyDescent="0.3">
      <c r="A566" s="7" t="s">
        <v>584</v>
      </c>
      <c r="B566" s="13">
        <v>43719.198194444441</v>
      </c>
      <c r="C566" s="13">
        <v>43721.198198198203</v>
      </c>
      <c r="D566" s="8" t="s">
        <v>1022</v>
      </c>
      <c r="E566" s="8" t="s">
        <v>1564</v>
      </c>
      <c r="F566" s="8" t="s">
        <v>2008</v>
      </c>
      <c r="G566" s="8" t="s">
        <v>2408</v>
      </c>
      <c r="H566" s="8" t="s">
        <v>2409</v>
      </c>
      <c r="I566" s="8" t="s">
        <v>2415</v>
      </c>
      <c r="J566" s="16" t="s">
        <v>3898</v>
      </c>
      <c r="K566" s="16">
        <v>66995</v>
      </c>
      <c r="L566" s="8" t="s">
        <v>2419</v>
      </c>
      <c r="M566" s="8" t="s">
        <v>2970</v>
      </c>
      <c r="N566" s="8" t="s">
        <v>3372</v>
      </c>
      <c r="O566" s="8" t="s">
        <v>3376</v>
      </c>
      <c r="P566" s="8" t="s">
        <v>3616</v>
      </c>
      <c r="Q566" s="8">
        <v>2693.18</v>
      </c>
      <c r="R566" s="16">
        <v>10</v>
      </c>
      <c r="S566" s="21">
        <v>0.56999999999999995</v>
      </c>
      <c r="T566" s="16">
        <v>1187.46</v>
      </c>
    </row>
    <row r="567" spans="1:20" x14ac:dyDescent="0.3">
      <c r="A567" s="5" t="s">
        <v>585</v>
      </c>
      <c r="B567" s="12">
        <v>43720.294293981482</v>
      </c>
      <c r="C567" s="12">
        <v>43721.294294294297</v>
      </c>
      <c r="D567" s="6" t="s">
        <v>1022</v>
      </c>
      <c r="E567" s="6" t="s">
        <v>1565</v>
      </c>
      <c r="F567" s="6" t="s">
        <v>1998</v>
      </c>
      <c r="G567" s="6" t="s">
        <v>2408</v>
      </c>
      <c r="H567" s="6" t="s">
        <v>2409</v>
      </c>
      <c r="I567" s="6" t="s">
        <v>2416</v>
      </c>
      <c r="J567" s="15" t="s">
        <v>3891</v>
      </c>
      <c r="K567" s="15">
        <v>35207</v>
      </c>
      <c r="L567" s="6" t="s">
        <v>2421</v>
      </c>
      <c r="M567" s="6" t="s">
        <v>2971</v>
      </c>
      <c r="N567" s="6" t="s">
        <v>3373</v>
      </c>
      <c r="O567" s="6" t="s">
        <v>3381</v>
      </c>
      <c r="P567" s="6" t="s">
        <v>3742</v>
      </c>
      <c r="Q567" s="6">
        <v>887.26</v>
      </c>
      <c r="R567" s="15">
        <v>11</v>
      </c>
      <c r="S567" s="20">
        <v>0.56999999999999995</v>
      </c>
      <c r="T567" s="15">
        <v>498.94</v>
      </c>
    </row>
    <row r="568" spans="1:20" x14ac:dyDescent="0.3">
      <c r="A568" s="7" t="s">
        <v>586</v>
      </c>
      <c r="B568" s="13">
        <v>43721.390393518515</v>
      </c>
      <c r="C568" s="13">
        <v>43726.390390390377</v>
      </c>
      <c r="D568" s="8" t="s">
        <v>1021</v>
      </c>
      <c r="E568" s="8" t="s">
        <v>1566</v>
      </c>
      <c r="F568" s="8" t="s">
        <v>2051</v>
      </c>
      <c r="G568" s="8" t="s">
        <v>2407</v>
      </c>
      <c r="H568" s="8" t="s">
        <v>2409</v>
      </c>
      <c r="I568" s="8" t="s">
        <v>2412</v>
      </c>
      <c r="J568" s="16" t="s">
        <v>3893</v>
      </c>
      <c r="K568" s="16">
        <v>47835</v>
      </c>
      <c r="L568" s="8" t="s">
        <v>2421</v>
      </c>
      <c r="M568" s="8" t="s">
        <v>2972</v>
      </c>
      <c r="N568" s="8" t="s">
        <v>3373</v>
      </c>
      <c r="O568" s="8" t="s">
        <v>3381</v>
      </c>
      <c r="P568" s="8" t="s">
        <v>3576</v>
      </c>
      <c r="Q568" s="8">
        <v>4133.84</v>
      </c>
      <c r="R568" s="16">
        <v>13</v>
      </c>
      <c r="S568" s="21">
        <v>0.01</v>
      </c>
      <c r="T568" s="16">
        <v>1469.11</v>
      </c>
    </row>
    <row r="569" spans="1:20" x14ac:dyDescent="0.3">
      <c r="A569" s="5" t="s">
        <v>587</v>
      </c>
      <c r="B569" s="12">
        <v>43722.486481481479</v>
      </c>
      <c r="C569" s="12">
        <v>43725.486486486479</v>
      </c>
      <c r="D569" s="6" t="s">
        <v>1021</v>
      </c>
      <c r="E569" s="6" t="s">
        <v>1567</v>
      </c>
      <c r="F569" s="6" t="s">
        <v>2311</v>
      </c>
      <c r="G569" s="6" t="s">
        <v>2407</v>
      </c>
      <c r="H569" s="6" t="s">
        <v>2409</v>
      </c>
      <c r="I569" s="6" t="s">
        <v>2410</v>
      </c>
      <c r="J569" s="15" t="s">
        <v>3896</v>
      </c>
      <c r="K569" s="15">
        <v>66090</v>
      </c>
      <c r="L569" s="6" t="s">
        <v>2421</v>
      </c>
      <c r="M569" s="6" t="s">
        <v>2973</v>
      </c>
      <c r="N569" s="6" t="s">
        <v>3373</v>
      </c>
      <c r="O569" s="6" t="s">
        <v>3380</v>
      </c>
      <c r="P569" s="6" t="s">
        <v>3570</v>
      </c>
      <c r="Q569" s="6">
        <v>605.30999999999995</v>
      </c>
      <c r="R569" s="15">
        <v>6</v>
      </c>
      <c r="S569" s="20">
        <v>0.79</v>
      </c>
      <c r="T569" s="15">
        <v>78.87</v>
      </c>
    </row>
    <row r="570" spans="1:20" x14ac:dyDescent="0.3">
      <c r="A570" s="7" t="s">
        <v>588</v>
      </c>
      <c r="B570" s="13">
        <v>43723.58258101852</v>
      </c>
      <c r="C570" s="13">
        <v>43727.582582582581</v>
      </c>
      <c r="D570" s="8" t="s">
        <v>1023</v>
      </c>
      <c r="E570" s="8" t="s">
        <v>1568</v>
      </c>
      <c r="F570" s="8" t="s">
        <v>2026</v>
      </c>
      <c r="G570" s="8" t="s">
        <v>2406</v>
      </c>
      <c r="H570" s="8" t="s">
        <v>2409</v>
      </c>
      <c r="I570" s="8" t="s">
        <v>2411</v>
      </c>
      <c r="J570" s="16" t="s">
        <v>3893</v>
      </c>
      <c r="K570" s="16">
        <v>60037</v>
      </c>
      <c r="L570" s="8" t="s">
        <v>2421</v>
      </c>
      <c r="M570" s="8" t="s">
        <v>2974</v>
      </c>
      <c r="N570" s="8" t="s">
        <v>3373</v>
      </c>
      <c r="O570" s="8" t="s">
        <v>3385</v>
      </c>
      <c r="P570" s="8" t="s">
        <v>3625</v>
      </c>
      <c r="Q570" s="8">
        <v>4453.5200000000004</v>
      </c>
      <c r="R570" s="16">
        <v>6</v>
      </c>
      <c r="S570" s="21">
        <v>0.56000000000000005</v>
      </c>
      <c r="T570" s="16">
        <v>1267.29</v>
      </c>
    </row>
    <row r="571" spans="1:20" x14ac:dyDescent="0.3">
      <c r="A571" s="5" t="s">
        <v>589</v>
      </c>
      <c r="B571" s="12">
        <v>43724.678680555553</v>
      </c>
      <c r="C571" s="12">
        <v>43728.678678678669</v>
      </c>
      <c r="D571" s="6" t="s">
        <v>1020</v>
      </c>
      <c r="E571" s="6" t="s">
        <v>1569</v>
      </c>
      <c r="F571" s="6" t="s">
        <v>2312</v>
      </c>
      <c r="G571" s="6" t="s">
        <v>2407</v>
      </c>
      <c r="H571" s="6" t="s">
        <v>2409</v>
      </c>
      <c r="I571" s="6" t="s">
        <v>2418</v>
      </c>
      <c r="J571" s="15" t="s">
        <v>3895</v>
      </c>
      <c r="K571" s="15">
        <v>97950</v>
      </c>
      <c r="L571" s="6" t="s">
        <v>2419</v>
      </c>
      <c r="M571" s="6" t="s">
        <v>2632</v>
      </c>
      <c r="N571" s="6" t="s">
        <v>3372</v>
      </c>
      <c r="O571" s="6" t="s">
        <v>3376</v>
      </c>
      <c r="P571" s="6" t="s">
        <v>3591</v>
      </c>
      <c r="Q571" s="6">
        <v>2313.9899999999998</v>
      </c>
      <c r="R571" s="15">
        <v>12</v>
      </c>
      <c r="S571" s="20">
        <v>0.61</v>
      </c>
      <c r="T571" s="15">
        <v>904.63</v>
      </c>
    </row>
    <row r="572" spans="1:20" x14ac:dyDescent="0.3">
      <c r="A572" s="7" t="s">
        <v>590</v>
      </c>
      <c r="B572" s="13">
        <v>43725.774780092594</v>
      </c>
      <c r="C572" s="13">
        <v>43730.774774774771</v>
      </c>
      <c r="D572" s="8" t="s">
        <v>1020</v>
      </c>
      <c r="E572" s="8" t="s">
        <v>1570</v>
      </c>
      <c r="F572" s="8" t="s">
        <v>2146</v>
      </c>
      <c r="G572" s="8" t="s">
        <v>2406</v>
      </c>
      <c r="H572" s="8" t="s">
        <v>2409</v>
      </c>
      <c r="I572" s="8" t="s">
        <v>2418</v>
      </c>
      <c r="J572" s="16" t="s">
        <v>3891</v>
      </c>
      <c r="K572" s="16">
        <v>56950</v>
      </c>
      <c r="L572" s="8" t="s">
        <v>2419</v>
      </c>
      <c r="M572" s="8" t="s">
        <v>2975</v>
      </c>
      <c r="N572" s="8" t="s">
        <v>3372</v>
      </c>
      <c r="O572" s="8" t="s">
        <v>3378</v>
      </c>
      <c r="P572" s="8" t="s">
        <v>3430</v>
      </c>
      <c r="Q572" s="8">
        <v>2815.1</v>
      </c>
      <c r="R572" s="16">
        <v>9</v>
      </c>
      <c r="S572" s="21">
        <v>0.48</v>
      </c>
      <c r="T572" s="16">
        <v>709.01</v>
      </c>
    </row>
    <row r="573" spans="1:20" x14ac:dyDescent="0.3">
      <c r="A573" s="5" t="s">
        <v>591</v>
      </c>
      <c r="B573" s="12">
        <v>43726.870868055557</v>
      </c>
      <c r="C573" s="12">
        <v>43732.870870870873</v>
      </c>
      <c r="D573" s="6" t="s">
        <v>1023</v>
      </c>
      <c r="E573" s="6" t="s">
        <v>1571</v>
      </c>
      <c r="F573" s="6" t="s">
        <v>2313</v>
      </c>
      <c r="G573" s="6" t="s">
        <v>2408</v>
      </c>
      <c r="H573" s="6" t="s">
        <v>2409</v>
      </c>
      <c r="I573" s="6" t="s">
        <v>2410</v>
      </c>
      <c r="J573" s="15" t="s">
        <v>3896</v>
      </c>
      <c r="K573" s="15">
        <v>61085</v>
      </c>
      <c r="L573" s="6" t="s">
        <v>2419</v>
      </c>
      <c r="M573" s="6" t="s">
        <v>2976</v>
      </c>
      <c r="N573" s="6" t="s">
        <v>3373</v>
      </c>
      <c r="O573" s="6" t="s">
        <v>3379</v>
      </c>
      <c r="P573" s="6" t="s">
        <v>3434</v>
      </c>
      <c r="Q573" s="6">
        <v>624.62</v>
      </c>
      <c r="R573" s="15">
        <v>13</v>
      </c>
      <c r="S573" s="20">
        <v>0.36</v>
      </c>
      <c r="T573" s="15">
        <v>-108.03</v>
      </c>
    </row>
    <row r="574" spans="1:20" x14ac:dyDescent="0.3">
      <c r="A574" s="7" t="s">
        <v>592</v>
      </c>
      <c r="B574" s="13">
        <v>43727.966967592591</v>
      </c>
      <c r="C574" s="13">
        <v>43733.966966966953</v>
      </c>
      <c r="D574" s="8" t="s">
        <v>1022</v>
      </c>
      <c r="E574" s="8" t="s">
        <v>1572</v>
      </c>
      <c r="F574" s="8" t="s">
        <v>2314</v>
      </c>
      <c r="G574" s="8" t="s">
        <v>2406</v>
      </c>
      <c r="H574" s="8" t="s">
        <v>2409</v>
      </c>
      <c r="I574" s="8" t="s">
        <v>2410</v>
      </c>
      <c r="J574" s="16" t="s">
        <v>3895</v>
      </c>
      <c r="K574" s="16">
        <v>47454</v>
      </c>
      <c r="L574" s="8" t="s">
        <v>2419</v>
      </c>
      <c r="M574" s="8" t="s">
        <v>2977</v>
      </c>
      <c r="N574" s="8" t="s">
        <v>3373</v>
      </c>
      <c r="O574" s="8" t="s">
        <v>3380</v>
      </c>
      <c r="P574" s="8" t="s">
        <v>3611</v>
      </c>
      <c r="Q574" s="8">
        <v>631.46</v>
      </c>
      <c r="R574" s="16">
        <v>12</v>
      </c>
      <c r="S574" s="21">
        <v>0.67</v>
      </c>
      <c r="T574" s="16">
        <v>27.83</v>
      </c>
    </row>
    <row r="575" spans="1:20" x14ac:dyDescent="0.3">
      <c r="A575" s="5" t="s">
        <v>593</v>
      </c>
      <c r="B575" s="12">
        <v>43729.063067129631</v>
      </c>
      <c r="C575" s="12">
        <v>43730.063063063048</v>
      </c>
      <c r="D575" s="6" t="s">
        <v>1021</v>
      </c>
      <c r="E575" s="6" t="s">
        <v>1573</v>
      </c>
      <c r="F575" s="6" t="s">
        <v>2315</v>
      </c>
      <c r="G575" s="6" t="s">
        <v>2407</v>
      </c>
      <c r="H575" s="6" t="s">
        <v>2409</v>
      </c>
      <c r="I575" s="6" t="s">
        <v>2413</v>
      </c>
      <c r="J575" s="15" t="s">
        <v>2410</v>
      </c>
      <c r="K575" s="15">
        <v>85505</v>
      </c>
      <c r="L575" s="6" t="s">
        <v>2420</v>
      </c>
      <c r="M575" s="6" t="s">
        <v>2978</v>
      </c>
      <c r="N575" s="6" t="s">
        <v>3371</v>
      </c>
      <c r="O575" s="6" t="s">
        <v>3382</v>
      </c>
      <c r="P575" s="6" t="s">
        <v>3540</v>
      </c>
      <c r="Q575" s="6">
        <v>660.81</v>
      </c>
      <c r="R575" s="15">
        <v>5</v>
      </c>
      <c r="S575" s="20">
        <v>0.22</v>
      </c>
      <c r="T575" s="15">
        <v>160.35</v>
      </c>
    </row>
    <row r="576" spans="1:20" x14ac:dyDescent="0.3">
      <c r="A576" s="7" t="s">
        <v>594</v>
      </c>
      <c r="B576" s="13">
        <v>43730.159155092595</v>
      </c>
      <c r="C576" s="13">
        <v>43732.159159159157</v>
      </c>
      <c r="D576" s="8" t="s">
        <v>1023</v>
      </c>
      <c r="E576" s="8" t="s">
        <v>1574</v>
      </c>
      <c r="F576" s="8" t="s">
        <v>2316</v>
      </c>
      <c r="G576" s="8" t="s">
        <v>2408</v>
      </c>
      <c r="H576" s="8" t="s">
        <v>2409</v>
      </c>
      <c r="I576" s="8" t="s">
        <v>2410</v>
      </c>
      <c r="J576" s="16" t="s">
        <v>3894</v>
      </c>
      <c r="K576" s="16">
        <v>14916</v>
      </c>
      <c r="L576" s="8" t="s">
        <v>2419</v>
      </c>
      <c r="M576" s="8" t="s">
        <v>2841</v>
      </c>
      <c r="N576" s="8" t="s">
        <v>3371</v>
      </c>
      <c r="O576" s="8" t="s">
        <v>3374</v>
      </c>
      <c r="P576" s="8" t="s">
        <v>3741</v>
      </c>
      <c r="Q576" s="8">
        <v>2521.2199999999998</v>
      </c>
      <c r="R576" s="16">
        <v>10</v>
      </c>
      <c r="S576" s="21">
        <v>0.31</v>
      </c>
      <c r="T576" s="16">
        <v>1353.17</v>
      </c>
    </row>
    <row r="577" spans="1:20" x14ac:dyDescent="0.3">
      <c r="A577" s="5" t="s">
        <v>595</v>
      </c>
      <c r="B577" s="12">
        <v>43731.255254629628</v>
      </c>
      <c r="C577" s="12">
        <v>43736.255255255252</v>
      </c>
      <c r="D577" s="6" t="s">
        <v>1023</v>
      </c>
      <c r="E577" s="6" t="s">
        <v>1575</v>
      </c>
      <c r="F577" s="6" t="s">
        <v>2148</v>
      </c>
      <c r="G577" s="6" t="s">
        <v>2406</v>
      </c>
      <c r="H577" s="6" t="s">
        <v>2409</v>
      </c>
      <c r="I577" s="6" t="s">
        <v>2417</v>
      </c>
      <c r="J577" s="15" t="s">
        <v>3891</v>
      </c>
      <c r="K577" s="15">
        <v>40416</v>
      </c>
      <c r="L577" s="6" t="s">
        <v>2422</v>
      </c>
      <c r="M577" s="6" t="s">
        <v>2979</v>
      </c>
      <c r="N577" s="6" t="s">
        <v>3373</v>
      </c>
      <c r="O577" s="6" t="s">
        <v>3380</v>
      </c>
      <c r="P577" s="6" t="s">
        <v>3466</v>
      </c>
      <c r="Q577" s="6">
        <v>2376.31</v>
      </c>
      <c r="R577" s="15">
        <v>6</v>
      </c>
      <c r="S577" s="20">
        <v>0.23</v>
      </c>
      <c r="T577" s="15">
        <v>840.66</v>
      </c>
    </row>
    <row r="578" spans="1:20" x14ac:dyDescent="0.3">
      <c r="A578" s="7" t="s">
        <v>596</v>
      </c>
      <c r="B578" s="13">
        <v>43732.351354166669</v>
      </c>
      <c r="C578" s="13">
        <v>43734.351351351339</v>
      </c>
      <c r="D578" s="8" t="s">
        <v>1021</v>
      </c>
      <c r="E578" s="8" t="s">
        <v>1576</v>
      </c>
      <c r="F578" s="8" t="s">
        <v>2310</v>
      </c>
      <c r="G578" s="8" t="s">
        <v>2406</v>
      </c>
      <c r="H578" s="8" t="s">
        <v>2409</v>
      </c>
      <c r="I578" s="8" t="s">
        <v>2417</v>
      </c>
      <c r="J578" s="16" t="s">
        <v>3896</v>
      </c>
      <c r="K578" s="16">
        <v>22459</v>
      </c>
      <c r="L578" s="8" t="s">
        <v>2419</v>
      </c>
      <c r="M578" s="8" t="s">
        <v>2980</v>
      </c>
      <c r="N578" s="8" t="s">
        <v>3371</v>
      </c>
      <c r="O578" s="8" t="s">
        <v>3383</v>
      </c>
      <c r="P578" s="8" t="s">
        <v>3753</v>
      </c>
      <c r="Q578" s="8">
        <v>2985.62</v>
      </c>
      <c r="R578" s="16">
        <v>7</v>
      </c>
      <c r="S578" s="21">
        <v>0.5</v>
      </c>
      <c r="T578" s="16">
        <v>798.93</v>
      </c>
    </row>
    <row r="579" spans="1:20" x14ac:dyDescent="0.3">
      <c r="A579" s="5" t="s">
        <v>597</v>
      </c>
      <c r="B579" s="12">
        <v>43733.447442129633</v>
      </c>
      <c r="C579" s="12">
        <v>43737.447447447441</v>
      </c>
      <c r="D579" s="6" t="s">
        <v>1020</v>
      </c>
      <c r="E579" s="6" t="s">
        <v>1577</v>
      </c>
      <c r="F579" s="6" t="s">
        <v>2317</v>
      </c>
      <c r="G579" s="6" t="s">
        <v>2407</v>
      </c>
      <c r="H579" s="6" t="s">
        <v>2409</v>
      </c>
      <c r="I579" s="6" t="s">
        <v>2414</v>
      </c>
      <c r="J579" s="15" t="s">
        <v>3898</v>
      </c>
      <c r="K579" s="15">
        <v>30608</v>
      </c>
      <c r="L579" s="6" t="s">
        <v>2419</v>
      </c>
      <c r="M579" s="6" t="s">
        <v>2981</v>
      </c>
      <c r="N579" s="6" t="s">
        <v>3373</v>
      </c>
      <c r="O579" s="6" t="s">
        <v>3381</v>
      </c>
      <c r="P579" s="6" t="s">
        <v>3754</v>
      </c>
      <c r="Q579" s="6">
        <v>1643.4</v>
      </c>
      <c r="R579" s="15">
        <v>1</v>
      </c>
      <c r="S579" s="20">
        <v>0.14000000000000001</v>
      </c>
      <c r="T579" s="15">
        <v>573.19000000000005</v>
      </c>
    </row>
    <row r="580" spans="1:20" x14ac:dyDescent="0.3">
      <c r="A580" s="7" t="s">
        <v>598</v>
      </c>
      <c r="B580" s="13">
        <v>43734.543541666666</v>
      </c>
      <c r="C580" s="13">
        <v>43737.543543543543</v>
      </c>
      <c r="D580" s="8" t="s">
        <v>1023</v>
      </c>
      <c r="E580" s="8" t="s">
        <v>1578</v>
      </c>
      <c r="F580" s="8" t="s">
        <v>2196</v>
      </c>
      <c r="G580" s="8" t="s">
        <v>2408</v>
      </c>
      <c r="H580" s="8" t="s">
        <v>2409</v>
      </c>
      <c r="I580" s="8" t="s">
        <v>2411</v>
      </c>
      <c r="J580" s="16" t="s">
        <v>3897</v>
      </c>
      <c r="K580" s="16">
        <v>50343</v>
      </c>
      <c r="L580" s="8" t="s">
        <v>2419</v>
      </c>
      <c r="M580" s="8" t="s">
        <v>2982</v>
      </c>
      <c r="N580" s="8" t="s">
        <v>3372</v>
      </c>
      <c r="O580" s="8" t="s">
        <v>3384</v>
      </c>
      <c r="P580" s="8" t="s">
        <v>3420</v>
      </c>
      <c r="Q580" s="8">
        <v>2720.06</v>
      </c>
      <c r="R580" s="16">
        <v>12</v>
      </c>
      <c r="S580" s="21">
        <v>0</v>
      </c>
      <c r="T580" s="16">
        <v>47.85</v>
      </c>
    </row>
    <row r="581" spans="1:20" x14ac:dyDescent="0.3">
      <c r="A581" s="5" t="s">
        <v>599</v>
      </c>
      <c r="B581" s="12">
        <v>43735.639641203707</v>
      </c>
      <c r="C581" s="12">
        <v>43736.63963963963</v>
      </c>
      <c r="D581" s="6" t="s">
        <v>1023</v>
      </c>
      <c r="E581" s="6" t="s">
        <v>1579</v>
      </c>
      <c r="F581" s="6" t="s">
        <v>1986</v>
      </c>
      <c r="G581" s="6" t="s">
        <v>2407</v>
      </c>
      <c r="H581" s="6" t="s">
        <v>2409</v>
      </c>
      <c r="I581" s="6" t="s">
        <v>2410</v>
      </c>
      <c r="J581" s="15" t="s">
        <v>3894</v>
      </c>
      <c r="K581" s="15">
        <v>78848</v>
      </c>
      <c r="L581" s="6" t="s">
        <v>2419</v>
      </c>
      <c r="M581" s="6" t="s">
        <v>2983</v>
      </c>
      <c r="N581" s="6" t="s">
        <v>3372</v>
      </c>
      <c r="O581" s="6" t="s">
        <v>3376</v>
      </c>
      <c r="P581" s="6" t="s">
        <v>3755</v>
      </c>
      <c r="Q581" s="6">
        <v>2959.35</v>
      </c>
      <c r="R581" s="15">
        <v>2</v>
      </c>
      <c r="S581" s="20">
        <v>0.82</v>
      </c>
      <c r="T581" s="15">
        <v>-490.1</v>
      </c>
    </row>
    <row r="582" spans="1:20" x14ac:dyDescent="0.3">
      <c r="A582" s="7" t="s">
        <v>600</v>
      </c>
      <c r="B582" s="13">
        <v>43736.73574074074</v>
      </c>
      <c r="C582" s="13">
        <v>43741.735735735732</v>
      </c>
      <c r="D582" s="8" t="s">
        <v>1020</v>
      </c>
      <c r="E582" s="8" t="s">
        <v>1580</v>
      </c>
      <c r="F582" s="8" t="s">
        <v>2248</v>
      </c>
      <c r="G582" s="8" t="s">
        <v>2408</v>
      </c>
      <c r="H582" s="8" t="s">
        <v>2409</v>
      </c>
      <c r="I582" s="8" t="s">
        <v>2412</v>
      </c>
      <c r="J582" s="16" t="s">
        <v>2410</v>
      </c>
      <c r="K582" s="16">
        <v>10214</v>
      </c>
      <c r="L582" s="8" t="s">
        <v>2419</v>
      </c>
      <c r="M582" s="8" t="s">
        <v>2984</v>
      </c>
      <c r="N582" s="8" t="s">
        <v>3371</v>
      </c>
      <c r="O582" s="8" t="s">
        <v>3382</v>
      </c>
      <c r="P582" s="8" t="s">
        <v>3684</v>
      </c>
      <c r="Q582" s="8">
        <v>3388.86</v>
      </c>
      <c r="R582" s="16">
        <v>7</v>
      </c>
      <c r="S582" s="21">
        <v>0.4</v>
      </c>
      <c r="T582" s="16">
        <v>1288.8599999999999</v>
      </c>
    </row>
    <row r="583" spans="1:20" x14ac:dyDescent="0.3">
      <c r="A583" s="5" t="s">
        <v>601</v>
      </c>
      <c r="B583" s="12">
        <v>43737.831828703704</v>
      </c>
      <c r="C583" s="12">
        <v>43740.831831831827</v>
      </c>
      <c r="D583" s="6" t="s">
        <v>1022</v>
      </c>
      <c r="E583" s="6" t="s">
        <v>1581</v>
      </c>
      <c r="F583" s="6" t="s">
        <v>2042</v>
      </c>
      <c r="G583" s="6" t="s">
        <v>2406</v>
      </c>
      <c r="H583" s="6" t="s">
        <v>2409</v>
      </c>
      <c r="I583" s="6" t="s">
        <v>2411</v>
      </c>
      <c r="J583" s="15" t="s">
        <v>3895</v>
      </c>
      <c r="K583" s="15">
        <v>78811</v>
      </c>
      <c r="L583" s="6" t="s">
        <v>2420</v>
      </c>
      <c r="M583" s="6" t="s">
        <v>2985</v>
      </c>
      <c r="N583" s="6" t="s">
        <v>3372</v>
      </c>
      <c r="O583" s="6" t="s">
        <v>3376</v>
      </c>
      <c r="P583" s="6" t="s">
        <v>3756</v>
      </c>
      <c r="Q583" s="6">
        <v>83.69</v>
      </c>
      <c r="R583" s="15">
        <v>6</v>
      </c>
      <c r="S583" s="20">
        <v>0.41</v>
      </c>
      <c r="T583" s="15">
        <v>-9.82</v>
      </c>
    </row>
    <row r="584" spans="1:20" x14ac:dyDescent="0.3">
      <c r="A584" s="7" t="s">
        <v>602</v>
      </c>
      <c r="B584" s="13">
        <v>43738.927928240744</v>
      </c>
      <c r="C584" s="13">
        <v>43744.927927927907</v>
      </c>
      <c r="D584" s="8" t="s">
        <v>1022</v>
      </c>
      <c r="E584" s="8" t="s">
        <v>1582</v>
      </c>
      <c r="F584" s="8" t="s">
        <v>2306</v>
      </c>
      <c r="G584" s="8" t="s">
        <v>2406</v>
      </c>
      <c r="H584" s="8" t="s">
        <v>2409</v>
      </c>
      <c r="I584" s="8" t="s">
        <v>2415</v>
      </c>
      <c r="J584" s="16" t="s">
        <v>3896</v>
      </c>
      <c r="K584" s="16">
        <v>31454</v>
      </c>
      <c r="L584" s="8" t="s">
        <v>2422</v>
      </c>
      <c r="M584" s="8" t="s">
        <v>2986</v>
      </c>
      <c r="N584" s="8" t="s">
        <v>3373</v>
      </c>
      <c r="O584" s="8" t="s">
        <v>3385</v>
      </c>
      <c r="P584" s="8" t="s">
        <v>3720</v>
      </c>
      <c r="Q584" s="8">
        <v>244.15</v>
      </c>
      <c r="R584" s="16">
        <v>10</v>
      </c>
      <c r="S584" s="21">
        <v>0.69</v>
      </c>
      <c r="T584" s="16">
        <v>110.12</v>
      </c>
    </row>
    <row r="585" spans="1:20" x14ac:dyDescent="0.3">
      <c r="A585" s="5" t="s">
        <v>603</v>
      </c>
      <c r="B585" s="12">
        <v>43740.024027777778</v>
      </c>
      <c r="C585" s="12">
        <v>43746.024024024016</v>
      </c>
      <c r="D585" s="6" t="s">
        <v>1020</v>
      </c>
      <c r="E585" s="6" t="s">
        <v>1583</v>
      </c>
      <c r="F585" s="6" t="s">
        <v>2053</v>
      </c>
      <c r="G585" s="6" t="s">
        <v>2407</v>
      </c>
      <c r="H585" s="6" t="s">
        <v>2409</v>
      </c>
      <c r="I585" s="6" t="s">
        <v>2411</v>
      </c>
      <c r="J585" s="15" t="s">
        <v>3891</v>
      </c>
      <c r="K585" s="15">
        <v>78399</v>
      </c>
      <c r="L585" s="6" t="s">
        <v>2421</v>
      </c>
      <c r="M585" s="6" t="s">
        <v>2987</v>
      </c>
      <c r="N585" s="6" t="s">
        <v>3372</v>
      </c>
      <c r="O585" s="6" t="s">
        <v>3376</v>
      </c>
      <c r="P585" s="6" t="s">
        <v>3725</v>
      </c>
      <c r="Q585" s="6">
        <v>3552.23</v>
      </c>
      <c r="R585" s="15">
        <v>8</v>
      </c>
      <c r="S585" s="20">
        <v>0.7</v>
      </c>
      <c r="T585" s="15">
        <v>-24.14</v>
      </c>
    </row>
    <row r="586" spans="1:20" x14ac:dyDescent="0.3">
      <c r="A586" s="7" t="s">
        <v>604</v>
      </c>
      <c r="B586" s="13">
        <v>43741.120115740741</v>
      </c>
      <c r="C586" s="13">
        <v>43747.120120120118</v>
      </c>
      <c r="D586" s="8" t="s">
        <v>1020</v>
      </c>
      <c r="E586" s="8" t="s">
        <v>1584</v>
      </c>
      <c r="F586" s="8" t="s">
        <v>2318</v>
      </c>
      <c r="G586" s="8" t="s">
        <v>2407</v>
      </c>
      <c r="H586" s="8" t="s">
        <v>2409</v>
      </c>
      <c r="I586" s="8" t="s">
        <v>2412</v>
      </c>
      <c r="J586" s="16" t="s">
        <v>3895</v>
      </c>
      <c r="K586" s="16">
        <v>13685</v>
      </c>
      <c r="L586" s="8" t="s">
        <v>2420</v>
      </c>
      <c r="M586" s="8" t="s">
        <v>2988</v>
      </c>
      <c r="N586" s="8" t="s">
        <v>3372</v>
      </c>
      <c r="O586" s="8" t="s">
        <v>3377</v>
      </c>
      <c r="P586" s="8" t="s">
        <v>3757</v>
      </c>
      <c r="Q586" s="8">
        <v>2962.22</v>
      </c>
      <c r="R586" s="16">
        <v>11</v>
      </c>
      <c r="S586" s="21">
        <v>0.77</v>
      </c>
      <c r="T586" s="16">
        <v>-403.75</v>
      </c>
    </row>
    <row r="587" spans="1:20" x14ac:dyDescent="0.3">
      <c r="A587" s="5" t="s">
        <v>605</v>
      </c>
      <c r="B587" s="12">
        <v>43742.216215277775</v>
      </c>
      <c r="C587" s="12">
        <v>43743.216216216213</v>
      </c>
      <c r="D587" s="6" t="s">
        <v>1021</v>
      </c>
      <c r="E587" s="6" t="s">
        <v>1585</v>
      </c>
      <c r="F587" s="6" t="s">
        <v>2069</v>
      </c>
      <c r="G587" s="6" t="s">
        <v>2406</v>
      </c>
      <c r="H587" s="6" t="s">
        <v>2409</v>
      </c>
      <c r="I587" s="6" t="s">
        <v>2415</v>
      </c>
      <c r="J587" s="15" t="s">
        <v>3892</v>
      </c>
      <c r="K587" s="15">
        <v>33264</v>
      </c>
      <c r="L587" s="6" t="s">
        <v>2419</v>
      </c>
      <c r="M587" s="6" t="s">
        <v>2989</v>
      </c>
      <c r="N587" s="6" t="s">
        <v>3371</v>
      </c>
      <c r="O587" s="6" t="s">
        <v>3382</v>
      </c>
      <c r="P587" s="6" t="s">
        <v>3579</v>
      </c>
      <c r="Q587" s="6">
        <v>1641.46</v>
      </c>
      <c r="R587" s="15">
        <v>10</v>
      </c>
      <c r="S587" s="20">
        <v>0.71</v>
      </c>
      <c r="T587" s="15">
        <v>313.07</v>
      </c>
    </row>
    <row r="588" spans="1:20" x14ac:dyDescent="0.3">
      <c r="A588" s="7" t="s">
        <v>606</v>
      </c>
      <c r="B588" s="13">
        <v>43743.312314814815</v>
      </c>
      <c r="C588" s="13">
        <v>43749.3123123123</v>
      </c>
      <c r="D588" s="8" t="s">
        <v>1020</v>
      </c>
      <c r="E588" s="8" t="s">
        <v>1586</v>
      </c>
      <c r="F588" s="8" t="s">
        <v>1971</v>
      </c>
      <c r="G588" s="8" t="s">
        <v>2407</v>
      </c>
      <c r="H588" s="8" t="s">
        <v>2409</v>
      </c>
      <c r="I588" s="8" t="s">
        <v>2414</v>
      </c>
      <c r="J588" s="16" t="s">
        <v>3891</v>
      </c>
      <c r="K588" s="16">
        <v>53282</v>
      </c>
      <c r="L588" s="8" t="s">
        <v>2421</v>
      </c>
      <c r="M588" s="8" t="s">
        <v>2990</v>
      </c>
      <c r="N588" s="8" t="s">
        <v>3371</v>
      </c>
      <c r="O588" s="8" t="s">
        <v>3375</v>
      </c>
      <c r="P588" s="8" t="s">
        <v>3758</v>
      </c>
      <c r="Q588" s="8">
        <v>2310.0300000000002</v>
      </c>
      <c r="R588" s="16">
        <v>13</v>
      </c>
      <c r="S588" s="21">
        <v>0.78</v>
      </c>
      <c r="T588" s="16">
        <v>-402.08</v>
      </c>
    </row>
    <row r="589" spans="1:20" x14ac:dyDescent="0.3">
      <c r="A589" s="5" t="s">
        <v>607</v>
      </c>
      <c r="B589" s="12">
        <v>43744.408402777779</v>
      </c>
      <c r="C589" s="12">
        <v>43748.408408408402</v>
      </c>
      <c r="D589" s="6" t="s">
        <v>1023</v>
      </c>
      <c r="E589" s="6" t="s">
        <v>1587</v>
      </c>
      <c r="F589" s="6" t="s">
        <v>2294</v>
      </c>
      <c r="G589" s="6" t="s">
        <v>2407</v>
      </c>
      <c r="H589" s="6" t="s">
        <v>2409</v>
      </c>
      <c r="I589" s="6" t="s">
        <v>2418</v>
      </c>
      <c r="J589" s="15" t="s">
        <v>3898</v>
      </c>
      <c r="K589" s="15">
        <v>52608</v>
      </c>
      <c r="L589" s="6" t="s">
        <v>2422</v>
      </c>
      <c r="M589" s="6" t="s">
        <v>2991</v>
      </c>
      <c r="N589" s="6" t="s">
        <v>3372</v>
      </c>
      <c r="O589" s="6" t="s">
        <v>3377</v>
      </c>
      <c r="P589" s="6" t="s">
        <v>3654</v>
      </c>
      <c r="Q589" s="6">
        <v>2811.86</v>
      </c>
      <c r="R589" s="15">
        <v>6</v>
      </c>
      <c r="S589" s="20">
        <v>0.06</v>
      </c>
      <c r="T589" s="15">
        <v>38.26</v>
      </c>
    </row>
    <row r="590" spans="1:20" x14ac:dyDescent="0.3">
      <c r="A590" s="7" t="s">
        <v>608</v>
      </c>
      <c r="B590" s="13">
        <v>43745.504502314812</v>
      </c>
      <c r="C590" s="13">
        <v>43746.504504504497</v>
      </c>
      <c r="D590" s="8" t="s">
        <v>1023</v>
      </c>
      <c r="E590" s="8" t="s">
        <v>1588</v>
      </c>
      <c r="F590" s="8" t="s">
        <v>2319</v>
      </c>
      <c r="G590" s="8" t="s">
        <v>2408</v>
      </c>
      <c r="H590" s="8" t="s">
        <v>2409</v>
      </c>
      <c r="I590" s="8" t="s">
        <v>2414</v>
      </c>
      <c r="J590" s="16" t="s">
        <v>3896</v>
      </c>
      <c r="K590" s="16">
        <v>68416</v>
      </c>
      <c r="L590" s="8" t="s">
        <v>2422</v>
      </c>
      <c r="M590" s="8" t="s">
        <v>2992</v>
      </c>
      <c r="N590" s="8" t="s">
        <v>3371</v>
      </c>
      <c r="O590" s="8" t="s">
        <v>3382</v>
      </c>
      <c r="P590" s="8" t="s">
        <v>3759</v>
      </c>
      <c r="Q590" s="8">
        <v>3524.33</v>
      </c>
      <c r="R590" s="16">
        <v>1</v>
      </c>
      <c r="S590" s="21">
        <v>0.56999999999999995</v>
      </c>
      <c r="T590" s="16">
        <v>760.36</v>
      </c>
    </row>
    <row r="591" spans="1:20" x14ac:dyDescent="0.3">
      <c r="A591" s="5" t="s">
        <v>609</v>
      </c>
      <c r="B591" s="12">
        <v>43746.600601851853</v>
      </c>
      <c r="C591" s="12">
        <v>43748.600600600592</v>
      </c>
      <c r="D591" s="6" t="s">
        <v>1022</v>
      </c>
      <c r="E591" s="6" t="s">
        <v>1589</v>
      </c>
      <c r="F591" s="6" t="s">
        <v>2090</v>
      </c>
      <c r="G591" s="6" t="s">
        <v>2408</v>
      </c>
      <c r="H591" s="6" t="s">
        <v>2409</v>
      </c>
      <c r="I591" s="6" t="s">
        <v>2411</v>
      </c>
      <c r="J591" s="15" t="s">
        <v>3891</v>
      </c>
      <c r="K591" s="15">
        <v>24181</v>
      </c>
      <c r="L591" s="6" t="s">
        <v>2422</v>
      </c>
      <c r="M591" s="6" t="s">
        <v>2993</v>
      </c>
      <c r="N591" s="6" t="s">
        <v>3373</v>
      </c>
      <c r="O591" s="6" t="s">
        <v>3380</v>
      </c>
      <c r="P591" s="6" t="s">
        <v>3573</v>
      </c>
      <c r="Q591" s="6">
        <v>266.16000000000003</v>
      </c>
      <c r="R591" s="15">
        <v>9</v>
      </c>
      <c r="S591" s="20">
        <v>0.88</v>
      </c>
      <c r="T591" s="15">
        <v>150.88999999999999</v>
      </c>
    </row>
    <row r="592" spans="1:20" x14ac:dyDescent="0.3">
      <c r="A592" s="7" t="s">
        <v>610</v>
      </c>
      <c r="B592" s="13">
        <v>43747.696701388886</v>
      </c>
      <c r="C592" s="13">
        <v>43748.696696696687</v>
      </c>
      <c r="D592" s="8" t="s">
        <v>1022</v>
      </c>
      <c r="E592" s="8" t="s">
        <v>1590</v>
      </c>
      <c r="F592" s="8" t="s">
        <v>2320</v>
      </c>
      <c r="G592" s="8" t="s">
        <v>2408</v>
      </c>
      <c r="H592" s="8" t="s">
        <v>2409</v>
      </c>
      <c r="I592" s="8" t="s">
        <v>2411</v>
      </c>
      <c r="J592" s="16" t="s">
        <v>3898</v>
      </c>
      <c r="K592" s="16">
        <v>41763</v>
      </c>
      <c r="L592" s="8" t="s">
        <v>2419</v>
      </c>
      <c r="M592" s="8" t="s">
        <v>2994</v>
      </c>
      <c r="N592" s="8" t="s">
        <v>3371</v>
      </c>
      <c r="O592" s="8" t="s">
        <v>3382</v>
      </c>
      <c r="P592" s="8" t="s">
        <v>3760</v>
      </c>
      <c r="Q592" s="8">
        <v>1915.29</v>
      </c>
      <c r="R592" s="16">
        <v>1</v>
      </c>
      <c r="S592" s="21">
        <v>0.51</v>
      </c>
      <c r="T592" s="16">
        <v>40.28</v>
      </c>
    </row>
    <row r="593" spans="1:20" x14ac:dyDescent="0.3">
      <c r="A593" s="5" t="s">
        <v>611</v>
      </c>
      <c r="B593" s="12">
        <v>43748.79278935185</v>
      </c>
      <c r="C593" s="12">
        <v>43753.792792792789</v>
      </c>
      <c r="D593" s="6" t="s">
        <v>1021</v>
      </c>
      <c r="E593" s="6" t="s">
        <v>1591</v>
      </c>
      <c r="F593" s="6" t="s">
        <v>2321</v>
      </c>
      <c r="G593" s="6" t="s">
        <v>2406</v>
      </c>
      <c r="H593" s="6" t="s">
        <v>2409</v>
      </c>
      <c r="I593" s="6" t="s">
        <v>2417</v>
      </c>
      <c r="J593" s="15" t="s">
        <v>3895</v>
      </c>
      <c r="K593" s="15">
        <v>23229</v>
      </c>
      <c r="L593" s="6" t="s">
        <v>2422</v>
      </c>
      <c r="M593" s="6" t="s">
        <v>2995</v>
      </c>
      <c r="N593" s="6" t="s">
        <v>3372</v>
      </c>
      <c r="O593" s="6" t="s">
        <v>3378</v>
      </c>
      <c r="P593" s="6" t="s">
        <v>3757</v>
      </c>
      <c r="Q593" s="6">
        <v>4921.0200000000004</v>
      </c>
      <c r="R593" s="15">
        <v>10</v>
      </c>
      <c r="S593" s="20">
        <v>0.84</v>
      </c>
      <c r="T593" s="15">
        <v>112.63</v>
      </c>
    </row>
    <row r="594" spans="1:20" x14ac:dyDescent="0.3">
      <c r="A594" s="7" t="s">
        <v>612</v>
      </c>
      <c r="B594" s="13">
        <v>43749.888888888891</v>
      </c>
      <c r="C594" s="13">
        <v>43750.888888888891</v>
      </c>
      <c r="D594" s="8" t="s">
        <v>1021</v>
      </c>
      <c r="E594" s="8" t="s">
        <v>1592</v>
      </c>
      <c r="F594" s="8" t="s">
        <v>2202</v>
      </c>
      <c r="G594" s="8" t="s">
        <v>2407</v>
      </c>
      <c r="H594" s="8" t="s">
        <v>2409</v>
      </c>
      <c r="I594" s="8" t="s">
        <v>2417</v>
      </c>
      <c r="J594" s="16" t="s">
        <v>2410</v>
      </c>
      <c r="K594" s="16">
        <v>95340</v>
      </c>
      <c r="L594" s="8" t="s">
        <v>2420</v>
      </c>
      <c r="M594" s="8" t="s">
        <v>2996</v>
      </c>
      <c r="N594" s="8" t="s">
        <v>3371</v>
      </c>
      <c r="O594" s="8" t="s">
        <v>3375</v>
      </c>
      <c r="P594" s="8" t="s">
        <v>3718</v>
      </c>
      <c r="Q594" s="8">
        <v>847.75</v>
      </c>
      <c r="R594" s="16">
        <v>1</v>
      </c>
      <c r="S594" s="21">
        <v>0.37</v>
      </c>
      <c r="T594" s="16">
        <v>262.2</v>
      </c>
    </row>
    <row r="595" spans="1:20" x14ac:dyDescent="0.3">
      <c r="A595" s="5" t="s">
        <v>613</v>
      </c>
      <c r="B595" s="12">
        <v>43750.984988425924</v>
      </c>
      <c r="C595" s="12">
        <v>43756.984984984978</v>
      </c>
      <c r="D595" s="6" t="s">
        <v>1023</v>
      </c>
      <c r="E595" s="6" t="s">
        <v>1593</v>
      </c>
      <c r="F595" s="6" t="s">
        <v>2169</v>
      </c>
      <c r="G595" s="6" t="s">
        <v>2408</v>
      </c>
      <c r="H595" s="6" t="s">
        <v>2409</v>
      </c>
      <c r="I595" s="6" t="s">
        <v>2415</v>
      </c>
      <c r="J595" s="15" t="s">
        <v>3891</v>
      </c>
      <c r="K595" s="15">
        <v>27507</v>
      </c>
      <c r="L595" s="6" t="s">
        <v>2420</v>
      </c>
      <c r="M595" s="6" t="s">
        <v>2997</v>
      </c>
      <c r="N595" s="6" t="s">
        <v>3371</v>
      </c>
      <c r="O595" s="6" t="s">
        <v>3383</v>
      </c>
      <c r="P595" s="6" t="s">
        <v>3721</v>
      </c>
      <c r="Q595" s="6">
        <v>2823.67</v>
      </c>
      <c r="R595" s="15">
        <v>7</v>
      </c>
      <c r="S595" s="20">
        <v>0.81</v>
      </c>
      <c r="T595" s="15">
        <v>95.99</v>
      </c>
    </row>
    <row r="596" spans="1:20" x14ac:dyDescent="0.3">
      <c r="A596" s="7" t="s">
        <v>614</v>
      </c>
      <c r="B596" s="13">
        <v>43752.081076388888</v>
      </c>
      <c r="C596" s="13">
        <v>43753.08108108108</v>
      </c>
      <c r="D596" s="8" t="s">
        <v>1021</v>
      </c>
      <c r="E596" s="8" t="s">
        <v>1594</v>
      </c>
      <c r="F596" s="8" t="s">
        <v>2310</v>
      </c>
      <c r="G596" s="8" t="s">
        <v>2408</v>
      </c>
      <c r="H596" s="8" t="s">
        <v>2409</v>
      </c>
      <c r="I596" s="8" t="s">
        <v>2411</v>
      </c>
      <c r="J596" s="16" t="s">
        <v>3898</v>
      </c>
      <c r="K596" s="16">
        <v>50010</v>
      </c>
      <c r="L596" s="8" t="s">
        <v>2419</v>
      </c>
      <c r="M596" s="8" t="s">
        <v>2998</v>
      </c>
      <c r="N596" s="8" t="s">
        <v>3372</v>
      </c>
      <c r="O596" s="8" t="s">
        <v>3384</v>
      </c>
      <c r="P596" s="8" t="s">
        <v>3761</v>
      </c>
      <c r="Q596" s="8">
        <v>1668.13</v>
      </c>
      <c r="R596" s="16">
        <v>6</v>
      </c>
      <c r="S596" s="21">
        <v>0.13</v>
      </c>
      <c r="T596" s="16">
        <v>206.91</v>
      </c>
    </row>
    <row r="597" spans="1:20" x14ac:dyDescent="0.3">
      <c r="A597" s="5" t="s">
        <v>615</v>
      </c>
      <c r="B597" s="12">
        <v>43753.177175925928</v>
      </c>
      <c r="C597" s="12">
        <v>43758.177177177167</v>
      </c>
      <c r="D597" s="6" t="s">
        <v>1021</v>
      </c>
      <c r="E597" s="6" t="s">
        <v>1595</v>
      </c>
      <c r="F597" s="6" t="s">
        <v>2322</v>
      </c>
      <c r="G597" s="6" t="s">
        <v>2408</v>
      </c>
      <c r="H597" s="6" t="s">
        <v>2409</v>
      </c>
      <c r="I597" s="6" t="s">
        <v>2413</v>
      </c>
      <c r="J597" s="15" t="s">
        <v>3893</v>
      </c>
      <c r="K597" s="15">
        <v>27582</v>
      </c>
      <c r="L597" s="6" t="s">
        <v>2420</v>
      </c>
      <c r="M597" s="6" t="s">
        <v>2999</v>
      </c>
      <c r="N597" s="6" t="s">
        <v>3372</v>
      </c>
      <c r="O597" s="6" t="s">
        <v>3377</v>
      </c>
      <c r="P597" s="6" t="s">
        <v>3687</v>
      </c>
      <c r="Q597" s="6">
        <v>1036.3399999999999</v>
      </c>
      <c r="R597" s="15">
        <v>3</v>
      </c>
      <c r="S597" s="20">
        <v>0.36</v>
      </c>
      <c r="T597" s="15">
        <v>-83.81</v>
      </c>
    </row>
    <row r="598" spans="1:20" x14ac:dyDescent="0.3">
      <c r="A598" s="7" t="s">
        <v>616</v>
      </c>
      <c r="B598" s="13">
        <v>43754.273275462961</v>
      </c>
      <c r="C598" s="13">
        <v>43755.273273273262</v>
      </c>
      <c r="D598" s="8" t="s">
        <v>1023</v>
      </c>
      <c r="E598" s="8" t="s">
        <v>1596</v>
      </c>
      <c r="F598" s="8" t="s">
        <v>2323</v>
      </c>
      <c r="G598" s="8" t="s">
        <v>2408</v>
      </c>
      <c r="H598" s="8" t="s">
        <v>2409</v>
      </c>
      <c r="I598" s="8" t="s">
        <v>2413</v>
      </c>
      <c r="J598" s="16" t="s">
        <v>3898</v>
      </c>
      <c r="K598" s="16">
        <v>70673</v>
      </c>
      <c r="L598" s="8" t="s">
        <v>2421</v>
      </c>
      <c r="M598" s="8" t="s">
        <v>3000</v>
      </c>
      <c r="N598" s="8" t="s">
        <v>3371</v>
      </c>
      <c r="O598" s="8" t="s">
        <v>3374</v>
      </c>
      <c r="P598" s="8" t="s">
        <v>3761</v>
      </c>
      <c r="Q598" s="8">
        <v>2577.9299999999998</v>
      </c>
      <c r="R598" s="16">
        <v>6</v>
      </c>
      <c r="S598" s="21">
        <v>0.03</v>
      </c>
      <c r="T598" s="16">
        <v>1003.33</v>
      </c>
    </row>
    <row r="599" spans="1:20" x14ac:dyDescent="0.3">
      <c r="A599" s="5" t="s">
        <v>617</v>
      </c>
      <c r="B599" s="12">
        <v>43755.369375000002</v>
      </c>
      <c r="C599" s="12">
        <v>43756.369369369357</v>
      </c>
      <c r="D599" s="6" t="s">
        <v>1023</v>
      </c>
      <c r="E599" s="6" t="s">
        <v>1597</v>
      </c>
      <c r="F599" s="6" t="s">
        <v>2324</v>
      </c>
      <c r="G599" s="6" t="s">
        <v>2406</v>
      </c>
      <c r="H599" s="6" t="s">
        <v>2409</v>
      </c>
      <c r="I599" s="6" t="s">
        <v>2411</v>
      </c>
      <c r="J599" s="15" t="s">
        <v>3895</v>
      </c>
      <c r="K599" s="15">
        <v>25839</v>
      </c>
      <c r="L599" s="6" t="s">
        <v>2421</v>
      </c>
      <c r="M599" s="6" t="s">
        <v>3001</v>
      </c>
      <c r="N599" s="6" t="s">
        <v>3373</v>
      </c>
      <c r="O599" s="6" t="s">
        <v>3379</v>
      </c>
      <c r="P599" s="6" t="s">
        <v>3721</v>
      </c>
      <c r="Q599" s="6">
        <v>4842.07</v>
      </c>
      <c r="R599" s="15">
        <v>14</v>
      </c>
      <c r="S599" s="20">
        <v>0.32</v>
      </c>
      <c r="T599" s="15">
        <v>-844.5</v>
      </c>
    </row>
    <row r="600" spans="1:20" x14ac:dyDescent="0.3">
      <c r="A600" s="7" t="s">
        <v>618</v>
      </c>
      <c r="B600" s="13">
        <v>43756.465462962966</v>
      </c>
      <c r="C600" s="13">
        <v>43757.465465465473</v>
      </c>
      <c r="D600" s="8" t="s">
        <v>1022</v>
      </c>
      <c r="E600" s="8" t="s">
        <v>1598</v>
      </c>
      <c r="F600" s="8" t="s">
        <v>2325</v>
      </c>
      <c r="G600" s="8" t="s">
        <v>2407</v>
      </c>
      <c r="H600" s="8" t="s">
        <v>2409</v>
      </c>
      <c r="I600" s="8" t="s">
        <v>2416</v>
      </c>
      <c r="J600" s="16" t="s">
        <v>3891</v>
      </c>
      <c r="K600" s="16">
        <v>44826</v>
      </c>
      <c r="L600" s="8" t="s">
        <v>2421</v>
      </c>
      <c r="M600" s="8" t="s">
        <v>3002</v>
      </c>
      <c r="N600" s="8" t="s">
        <v>3372</v>
      </c>
      <c r="O600" s="8" t="s">
        <v>3378</v>
      </c>
      <c r="P600" s="8" t="s">
        <v>3667</v>
      </c>
      <c r="Q600" s="8">
        <v>1526.88</v>
      </c>
      <c r="R600" s="16">
        <v>6</v>
      </c>
      <c r="S600" s="21">
        <v>0.59</v>
      </c>
      <c r="T600" s="16">
        <v>243.72</v>
      </c>
    </row>
    <row r="601" spans="1:20" x14ac:dyDescent="0.3">
      <c r="A601" s="5" t="s">
        <v>619</v>
      </c>
      <c r="B601" s="12">
        <v>43757.561562499999</v>
      </c>
      <c r="C601" s="12">
        <v>43763.561561561553</v>
      </c>
      <c r="D601" s="6" t="s">
        <v>1022</v>
      </c>
      <c r="E601" s="6" t="s">
        <v>1599</v>
      </c>
      <c r="F601" s="6" t="s">
        <v>2046</v>
      </c>
      <c r="G601" s="6" t="s">
        <v>2407</v>
      </c>
      <c r="H601" s="6" t="s">
        <v>2409</v>
      </c>
      <c r="I601" s="6" t="s">
        <v>2412</v>
      </c>
      <c r="J601" s="15" t="s">
        <v>3892</v>
      </c>
      <c r="K601" s="15">
        <v>64083</v>
      </c>
      <c r="L601" s="6" t="s">
        <v>2419</v>
      </c>
      <c r="M601" s="6" t="s">
        <v>3003</v>
      </c>
      <c r="N601" s="6" t="s">
        <v>3372</v>
      </c>
      <c r="O601" s="6" t="s">
        <v>3376</v>
      </c>
      <c r="P601" s="6" t="s">
        <v>3583</v>
      </c>
      <c r="Q601" s="6">
        <v>4238.33</v>
      </c>
      <c r="R601" s="15">
        <v>9</v>
      </c>
      <c r="S601" s="20">
        <v>0.73</v>
      </c>
      <c r="T601" s="15">
        <v>1983.13</v>
      </c>
    </row>
    <row r="602" spans="1:20" x14ac:dyDescent="0.3">
      <c r="A602" s="7" t="s">
        <v>620</v>
      </c>
      <c r="B602" s="13">
        <v>43758.65766203704</v>
      </c>
      <c r="C602" s="13">
        <v>43760.657657657648</v>
      </c>
      <c r="D602" s="8" t="s">
        <v>1021</v>
      </c>
      <c r="E602" s="8" t="s">
        <v>1600</v>
      </c>
      <c r="F602" s="8" t="s">
        <v>2276</v>
      </c>
      <c r="G602" s="8" t="s">
        <v>2408</v>
      </c>
      <c r="H602" s="8" t="s">
        <v>2409</v>
      </c>
      <c r="I602" s="8" t="s">
        <v>2414</v>
      </c>
      <c r="J602" s="16" t="s">
        <v>3898</v>
      </c>
      <c r="K602" s="16">
        <v>38232</v>
      </c>
      <c r="L602" s="8" t="s">
        <v>2420</v>
      </c>
      <c r="M602" s="8" t="s">
        <v>2935</v>
      </c>
      <c r="N602" s="8" t="s">
        <v>3373</v>
      </c>
      <c r="O602" s="8" t="s">
        <v>3379</v>
      </c>
      <c r="P602" s="8" t="s">
        <v>3441</v>
      </c>
      <c r="Q602" s="8">
        <v>3343.39</v>
      </c>
      <c r="R602" s="16">
        <v>3</v>
      </c>
      <c r="S602" s="21">
        <v>0.76</v>
      </c>
      <c r="T602" s="16">
        <v>178.96</v>
      </c>
    </row>
    <row r="603" spans="1:20" x14ac:dyDescent="0.3">
      <c r="A603" s="5" t="s">
        <v>621</v>
      </c>
      <c r="B603" s="12">
        <v>43759.753750000003</v>
      </c>
      <c r="C603" s="12">
        <v>43762.75375375375</v>
      </c>
      <c r="D603" s="6" t="s">
        <v>1022</v>
      </c>
      <c r="E603" s="6" t="s">
        <v>1601</v>
      </c>
      <c r="F603" s="6" t="s">
        <v>2276</v>
      </c>
      <c r="G603" s="6" t="s">
        <v>2408</v>
      </c>
      <c r="H603" s="6" t="s">
        <v>2409</v>
      </c>
      <c r="I603" s="6" t="s">
        <v>2410</v>
      </c>
      <c r="J603" s="15" t="s">
        <v>3891</v>
      </c>
      <c r="K603" s="15">
        <v>43963</v>
      </c>
      <c r="L603" s="6" t="s">
        <v>2419</v>
      </c>
      <c r="M603" s="6" t="s">
        <v>3004</v>
      </c>
      <c r="N603" s="6" t="s">
        <v>3373</v>
      </c>
      <c r="O603" s="6" t="s">
        <v>3385</v>
      </c>
      <c r="P603" s="6" t="s">
        <v>3762</v>
      </c>
      <c r="Q603" s="6">
        <v>3451.71</v>
      </c>
      <c r="R603" s="15">
        <v>11</v>
      </c>
      <c r="S603" s="20">
        <v>0.67</v>
      </c>
      <c r="T603" s="15">
        <v>-226.25</v>
      </c>
    </row>
    <row r="604" spans="1:20" x14ac:dyDescent="0.3">
      <c r="A604" s="7" t="s">
        <v>622</v>
      </c>
      <c r="B604" s="13">
        <v>43760.849849537037</v>
      </c>
      <c r="C604" s="13">
        <v>43765.849849849852</v>
      </c>
      <c r="D604" s="8" t="s">
        <v>1023</v>
      </c>
      <c r="E604" s="8" t="s">
        <v>1602</v>
      </c>
      <c r="F604" s="8" t="s">
        <v>1979</v>
      </c>
      <c r="G604" s="8" t="s">
        <v>2407</v>
      </c>
      <c r="H604" s="8" t="s">
        <v>2409</v>
      </c>
      <c r="I604" s="8" t="s">
        <v>2418</v>
      </c>
      <c r="J604" s="16" t="s">
        <v>3893</v>
      </c>
      <c r="K604" s="16">
        <v>81597</v>
      </c>
      <c r="L604" s="8" t="s">
        <v>2419</v>
      </c>
      <c r="M604" s="8" t="s">
        <v>3005</v>
      </c>
      <c r="N604" s="8" t="s">
        <v>3373</v>
      </c>
      <c r="O604" s="8" t="s">
        <v>3385</v>
      </c>
      <c r="P604" s="8" t="s">
        <v>3763</v>
      </c>
      <c r="Q604" s="8">
        <v>4951.4799999999996</v>
      </c>
      <c r="R604" s="16">
        <v>4</v>
      </c>
      <c r="S604" s="21">
        <v>7.0000000000000007E-2</v>
      </c>
      <c r="T604" s="16">
        <v>83.31</v>
      </c>
    </row>
    <row r="605" spans="1:20" x14ac:dyDescent="0.3">
      <c r="A605" s="5" t="s">
        <v>623</v>
      </c>
      <c r="B605" s="12">
        <v>43761.945949074077</v>
      </c>
      <c r="C605" s="12">
        <v>43767.945945945939</v>
      </c>
      <c r="D605" s="6" t="s">
        <v>1023</v>
      </c>
      <c r="E605" s="6" t="s">
        <v>1445</v>
      </c>
      <c r="F605" s="6" t="s">
        <v>2166</v>
      </c>
      <c r="G605" s="6" t="s">
        <v>2408</v>
      </c>
      <c r="H605" s="6" t="s">
        <v>2409</v>
      </c>
      <c r="I605" s="6" t="s">
        <v>2410</v>
      </c>
      <c r="J605" s="15" t="s">
        <v>3898</v>
      </c>
      <c r="K605" s="15">
        <v>46423</v>
      </c>
      <c r="L605" s="6" t="s">
        <v>2419</v>
      </c>
      <c r="M605" s="6" t="s">
        <v>3006</v>
      </c>
      <c r="N605" s="6" t="s">
        <v>3371</v>
      </c>
      <c r="O605" s="6" t="s">
        <v>3375</v>
      </c>
      <c r="P605" s="6" t="s">
        <v>3764</v>
      </c>
      <c r="Q605" s="6">
        <v>4059.28</v>
      </c>
      <c r="R605" s="15">
        <v>14</v>
      </c>
      <c r="S605" s="20">
        <v>0.74</v>
      </c>
      <c r="T605" s="15">
        <v>1302.74</v>
      </c>
    </row>
    <row r="606" spans="1:20" x14ac:dyDescent="0.3">
      <c r="A606" s="7" t="s">
        <v>624</v>
      </c>
      <c r="B606" s="13">
        <v>43763.042037037034</v>
      </c>
      <c r="C606" s="13">
        <v>43764.042042042027</v>
      </c>
      <c r="D606" s="8" t="s">
        <v>1022</v>
      </c>
      <c r="E606" s="8" t="s">
        <v>1603</v>
      </c>
      <c r="F606" s="8" t="s">
        <v>1982</v>
      </c>
      <c r="G606" s="8" t="s">
        <v>2408</v>
      </c>
      <c r="H606" s="8" t="s">
        <v>2409</v>
      </c>
      <c r="I606" s="8" t="s">
        <v>2410</v>
      </c>
      <c r="J606" s="16" t="s">
        <v>3895</v>
      </c>
      <c r="K606" s="16">
        <v>75325</v>
      </c>
      <c r="L606" s="8" t="s">
        <v>2422</v>
      </c>
      <c r="M606" s="8" t="s">
        <v>3007</v>
      </c>
      <c r="N606" s="8" t="s">
        <v>3372</v>
      </c>
      <c r="O606" s="8" t="s">
        <v>3378</v>
      </c>
      <c r="P606" s="8" t="s">
        <v>3625</v>
      </c>
      <c r="Q606" s="8">
        <v>2326.19</v>
      </c>
      <c r="R606" s="16">
        <v>4</v>
      </c>
      <c r="S606" s="21">
        <v>0.65</v>
      </c>
      <c r="T606" s="16">
        <v>102.97</v>
      </c>
    </row>
    <row r="607" spans="1:20" x14ac:dyDescent="0.3">
      <c r="A607" s="5" t="s">
        <v>625</v>
      </c>
      <c r="B607" s="12">
        <v>43764.138136574074</v>
      </c>
      <c r="C607" s="12">
        <v>43765.138138138143</v>
      </c>
      <c r="D607" s="6" t="s">
        <v>1020</v>
      </c>
      <c r="E607" s="6" t="s">
        <v>1604</v>
      </c>
      <c r="F607" s="6" t="s">
        <v>2326</v>
      </c>
      <c r="G607" s="6" t="s">
        <v>2406</v>
      </c>
      <c r="H607" s="6" t="s">
        <v>2409</v>
      </c>
      <c r="I607" s="6" t="s">
        <v>2414</v>
      </c>
      <c r="J607" s="15" t="s">
        <v>2410</v>
      </c>
      <c r="K607" s="15">
        <v>31783</v>
      </c>
      <c r="L607" s="6" t="s">
        <v>2421</v>
      </c>
      <c r="M607" s="6" t="s">
        <v>3008</v>
      </c>
      <c r="N607" s="6" t="s">
        <v>3371</v>
      </c>
      <c r="O607" s="6" t="s">
        <v>3375</v>
      </c>
      <c r="P607" s="6" t="s">
        <v>3765</v>
      </c>
      <c r="Q607" s="6">
        <v>221.47</v>
      </c>
      <c r="R607" s="15">
        <v>14</v>
      </c>
      <c r="S607" s="20">
        <v>0.37</v>
      </c>
      <c r="T607" s="15">
        <v>128.31</v>
      </c>
    </row>
    <row r="608" spans="1:20" x14ac:dyDescent="0.3">
      <c r="A608" s="7" t="s">
        <v>626</v>
      </c>
      <c r="B608" s="13">
        <v>43765.234236111108</v>
      </c>
      <c r="C608" s="13">
        <v>43766.234234234224</v>
      </c>
      <c r="D608" s="8" t="s">
        <v>1022</v>
      </c>
      <c r="E608" s="8" t="s">
        <v>1605</v>
      </c>
      <c r="F608" s="8" t="s">
        <v>1973</v>
      </c>
      <c r="G608" s="8" t="s">
        <v>2408</v>
      </c>
      <c r="H608" s="8" t="s">
        <v>2409</v>
      </c>
      <c r="I608" s="8" t="s">
        <v>2417</v>
      </c>
      <c r="J608" s="16" t="s">
        <v>3892</v>
      </c>
      <c r="K608" s="16">
        <v>64653</v>
      </c>
      <c r="L608" s="8" t="s">
        <v>2422</v>
      </c>
      <c r="M608" s="8" t="s">
        <v>3009</v>
      </c>
      <c r="N608" s="8" t="s">
        <v>3371</v>
      </c>
      <c r="O608" s="8" t="s">
        <v>3375</v>
      </c>
      <c r="P608" s="8" t="s">
        <v>3712</v>
      </c>
      <c r="Q608" s="8">
        <v>3855.18</v>
      </c>
      <c r="R608" s="16">
        <v>2</v>
      </c>
      <c r="S608" s="21">
        <v>0.36</v>
      </c>
      <c r="T608" s="16">
        <v>589.26</v>
      </c>
    </row>
    <row r="609" spans="1:20" x14ac:dyDescent="0.3">
      <c r="A609" s="5" t="s">
        <v>627</v>
      </c>
      <c r="B609" s="12">
        <v>43766.330335648148</v>
      </c>
      <c r="C609" s="12">
        <v>43770.330330330333</v>
      </c>
      <c r="D609" s="6" t="s">
        <v>1023</v>
      </c>
      <c r="E609" s="6" t="s">
        <v>1606</v>
      </c>
      <c r="F609" s="6" t="s">
        <v>2327</v>
      </c>
      <c r="G609" s="6" t="s">
        <v>2407</v>
      </c>
      <c r="H609" s="6" t="s">
        <v>2409</v>
      </c>
      <c r="I609" s="6" t="s">
        <v>2414</v>
      </c>
      <c r="J609" s="15" t="s">
        <v>3891</v>
      </c>
      <c r="K609" s="15">
        <v>61049</v>
      </c>
      <c r="L609" s="6" t="s">
        <v>2421</v>
      </c>
      <c r="M609" s="6" t="s">
        <v>3010</v>
      </c>
      <c r="N609" s="6" t="s">
        <v>3371</v>
      </c>
      <c r="O609" s="6" t="s">
        <v>3383</v>
      </c>
      <c r="P609" s="6" t="s">
        <v>3735</v>
      </c>
      <c r="Q609" s="6">
        <v>2939.34</v>
      </c>
      <c r="R609" s="15">
        <v>9</v>
      </c>
      <c r="S609" s="20">
        <v>0.39</v>
      </c>
      <c r="T609" s="15">
        <v>692.38</v>
      </c>
    </row>
    <row r="610" spans="1:20" x14ac:dyDescent="0.3">
      <c r="A610" s="7" t="s">
        <v>628</v>
      </c>
      <c r="B610" s="13">
        <v>43767.426423611112</v>
      </c>
      <c r="C610" s="13">
        <v>43772.42642642642</v>
      </c>
      <c r="D610" s="8" t="s">
        <v>1023</v>
      </c>
      <c r="E610" s="8" t="s">
        <v>1607</v>
      </c>
      <c r="F610" s="8" t="s">
        <v>2320</v>
      </c>
      <c r="G610" s="8" t="s">
        <v>2406</v>
      </c>
      <c r="H610" s="8" t="s">
        <v>2409</v>
      </c>
      <c r="I610" s="8" t="s">
        <v>2416</v>
      </c>
      <c r="J610" s="16" t="s">
        <v>3894</v>
      </c>
      <c r="K610" s="16">
        <v>66073</v>
      </c>
      <c r="L610" s="8" t="s">
        <v>2421</v>
      </c>
      <c r="M610" s="8" t="s">
        <v>3011</v>
      </c>
      <c r="N610" s="8" t="s">
        <v>3373</v>
      </c>
      <c r="O610" s="8" t="s">
        <v>3381</v>
      </c>
      <c r="P610" s="8" t="s">
        <v>3765</v>
      </c>
      <c r="Q610" s="8">
        <v>4581.55</v>
      </c>
      <c r="R610" s="16">
        <v>8</v>
      </c>
      <c r="S610" s="21">
        <v>0.84</v>
      </c>
      <c r="T610" s="16">
        <v>-842.04</v>
      </c>
    </row>
    <row r="611" spans="1:20" x14ac:dyDescent="0.3">
      <c r="A611" s="5" t="s">
        <v>629</v>
      </c>
      <c r="B611" s="12">
        <v>43768.522523148145</v>
      </c>
      <c r="C611" s="12">
        <v>43774.522522522508</v>
      </c>
      <c r="D611" s="6" t="s">
        <v>1022</v>
      </c>
      <c r="E611" s="6" t="s">
        <v>1608</v>
      </c>
      <c r="F611" s="6" t="s">
        <v>2319</v>
      </c>
      <c r="G611" s="6" t="s">
        <v>2408</v>
      </c>
      <c r="H611" s="6" t="s">
        <v>2409</v>
      </c>
      <c r="I611" s="6" t="s">
        <v>2416</v>
      </c>
      <c r="J611" s="15" t="s">
        <v>3891</v>
      </c>
      <c r="K611" s="15">
        <v>84659</v>
      </c>
      <c r="L611" s="6" t="s">
        <v>2420</v>
      </c>
      <c r="M611" s="6" t="s">
        <v>3012</v>
      </c>
      <c r="N611" s="6" t="s">
        <v>3372</v>
      </c>
      <c r="O611" s="6" t="s">
        <v>3384</v>
      </c>
      <c r="P611" s="6" t="s">
        <v>3766</v>
      </c>
      <c r="Q611" s="6">
        <v>3829.52</v>
      </c>
      <c r="R611" s="15">
        <v>13</v>
      </c>
      <c r="S611" s="20">
        <v>0.78</v>
      </c>
      <c r="T611" s="15">
        <v>736.4</v>
      </c>
    </row>
    <row r="612" spans="1:20" x14ac:dyDescent="0.3">
      <c r="A612" s="7" t="s">
        <v>630</v>
      </c>
      <c r="B612" s="13">
        <v>43769.618622685186</v>
      </c>
      <c r="C612" s="13">
        <v>43771.61861861861</v>
      </c>
      <c r="D612" s="8" t="s">
        <v>1023</v>
      </c>
      <c r="E612" s="8" t="s">
        <v>1609</v>
      </c>
      <c r="F612" s="8" t="s">
        <v>2161</v>
      </c>
      <c r="G612" s="8" t="s">
        <v>2406</v>
      </c>
      <c r="H612" s="8" t="s">
        <v>2409</v>
      </c>
      <c r="I612" s="8" t="s">
        <v>2415</v>
      </c>
      <c r="J612" s="16" t="s">
        <v>3894</v>
      </c>
      <c r="K612" s="16">
        <v>38930</v>
      </c>
      <c r="L612" s="8" t="s">
        <v>2419</v>
      </c>
      <c r="M612" s="8" t="s">
        <v>3013</v>
      </c>
      <c r="N612" s="8" t="s">
        <v>3373</v>
      </c>
      <c r="O612" s="8" t="s">
        <v>3385</v>
      </c>
      <c r="P612" s="8" t="s">
        <v>3767</v>
      </c>
      <c r="Q612" s="8">
        <v>4236.7299999999996</v>
      </c>
      <c r="R612" s="16">
        <v>5</v>
      </c>
      <c r="S612" s="21">
        <v>0.71</v>
      </c>
      <c r="T612" s="16">
        <v>1808.5</v>
      </c>
    </row>
    <row r="613" spans="1:20" x14ac:dyDescent="0.3">
      <c r="A613" s="5" t="s">
        <v>631</v>
      </c>
      <c r="B613" s="12">
        <v>43770.71471064815</v>
      </c>
      <c r="C613" s="12">
        <v>43772.714714714712</v>
      </c>
      <c r="D613" s="6" t="s">
        <v>1023</v>
      </c>
      <c r="E613" s="6" t="s">
        <v>1610</v>
      </c>
      <c r="F613" s="6" t="s">
        <v>2325</v>
      </c>
      <c r="G613" s="6" t="s">
        <v>2407</v>
      </c>
      <c r="H613" s="6" t="s">
        <v>2409</v>
      </c>
      <c r="I613" s="6" t="s">
        <v>2410</v>
      </c>
      <c r="J613" s="15" t="s">
        <v>3892</v>
      </c>
      <c r="K613" s="15">
        <v>38126</v>
      </c>
      <c r="L613" s="6" t="s">
        <v>2420</v>
      </c>
      <c r="M613" s="6" t="s">
        <v>3014</v>
      </c>
      <c r="N613" s="6" t="s">
        <v>3371</v>
      </c>
      <c r="O613" s="6" t="s">
        <v>3375</v>
      </c>
      <c r="P613" s="6" t="s">
        <v>3733</v>
      </c>
      <c r="Q613" s="6">
        <v>2335.2399999999998</v>
      </c>
      <c r="R613" s="15">
        <v>7</v>
      </c>
      <c r="S613" s="20">
        <v>0.48</v>
      </c>
      <c r="T613" s="15">
        <v>1053.46</v>
      </c>
    </row>
    <row r="614" spans="1:20" x14ac:dyDescent="0.3">
      <c r="A614" s="7" t="s">
        <v>632</v>
      </c>
      <c r="B614" s="13">
        <v>43771.810810185183</v>
      </c>
      <c r="C614" s="13">
        <v>43774.810810810814</v>
      </c>
      <c r="D614" s="8" t="s">
        <v>1023</v>
      </c>
      <c r="E614" s="8" t="s">
        <v>1611</v>
      </c>
      <c r="F614" s="8" t="s">
        <v>2184</v>
      </c>
      <c r="G614" s="8" t="s">
        <v>2408</v>
      </c>
      <c r="H614" s="8" t="s">
        <v>2409</v>
      </c>
      <c r="I614" s="8" t="s">
        <v>2416</v>
      </c>
      <c r="J614" s="16" t="s">
        <v>3894</v>
      </c>
      <c r="K614" s="16">
        <v>22281</v>
      </c>
      <c r="L614" s="8" t="s">
        <v>2419</v>
      </c>
      <c r="M614" s="8" t="s">
        <v>3015</v>
      </c>
      <c r="N614" s="8" t="s">
        <v>3373</v>
      </c>
      <c r="O614" s="8" t="s">
        <v>3385</v>
      </c>
      <c r="P614" s="8" t="s">
        <v>3485</v>
      </c>
      <c r="Q614" s="8">
        <v>1436.9</v>
      </c>
      <c r="R614" s="16">
        <v>10</v>
      </c>
      <c r="S614" s="21">
        <v>0.35</v>
      </c>
      <c r="T614" s="16">
        <v>95.33</v>
      </c>
    </row>
    <row r="615" spans="1:20" x14ac:dyDescent="0.3">
      <c r="A615" s="5" t="s">
        <v>633</v>
      </c>
      <c r="B615" s="12">
        <v>43772.906909722224</v>
      </c>
      <c r="C615" s="12">
        <v>43776.906906906901</v>
      </c>
      <c r="D615" s="6" t="s">
        <v>1023</v>
      </c>
      <c r="E615" s="6" t="s">
        <v>1612</v>
      </c>
      <c r="F615" s="6" t="s">
        <v>2196</v>
      </c>
      <c r="G615" s="6" t="s">
        <v>2407</v>
      </c>
      <c r="H615" s="6" t="s">
        <v>2409</v>
      </c>
      <c r="I615" s="6" t="s">
        <v>2417</v>
      </c>
      <c r="J615" s="15" t="s">
        <v>3896</v>
      </c>
      <c r="K615" s="15">
        <v>26212</v>
      </c>
      <c r="L615" s="6" t="s">
        <v>2419</v>
      </c>
      <c r="M615" s="6" t="s">
        <v>3016</v>
      </c>
      <c r="N615" s="6" t="s">
        <v>3373</v>
      </c>
      <c r="O615" s="6" t="s">
        <v>3381</v>
      </c>
      <c r="P615" s="6" t="s">
        <v>3647</v>
      </c>
      <c r="Q615" s="6">
        <v>4297.7700000000004</v>
      </c>
      <c r="R615" s="15">
        <v>2</v>
      </c>
      <c r="S615" s="20">
        <v>0.25</v>
      </c>
      <c r="T615" s="15">
        <v>-475.28</v>
      </c>
    </row>
    <row r="616" spans="1:20" x14ac:dyDescent="0.3">
      <c r="A616" s="7" t="s">
        <v>634</v>
      </c>
      <c r="B616" s="13">
        <v>43774.002997685187</v>
      </c>
      <c r="C616" s="13">
        <v>43777.003003003003</v>
      </c>
      <c r="D616" s="8" t="s">
        <v>1023</v>
      </c>
      <c r="E616" s="8" t="s">
        <v>1613</v>
      </c>
      <c r="F616" s="8" t="s">
        <v>2328</v>
      </c>
      <c r="G616" s="8" t="s">
        <v>2407</v>
      </c>
      <c r="H616" s="8" t="s">
        <v>2409</v>
      </c>
      <c r="I616" s="8" t="s">
        <v>2410</v>
      </c>
      <c r="J616" s="16" t="s">
        <v>3893</v>
      </c>
      <c r="K616" s="16">
        <v>98380</v>
      </c>
      <c r="L616" s="8" t="s">
        <v>2420</v>
      </c>
      <c r="M616" s="8" t="s">
        <v>3017</v>
      </c>
      <c r="N616" s="8" t="s">
        <v>3373</v>
      </c>
      <c r="O616" s="8" t="s">
        <v>3385</v>
      </c>
      <c r="P616" s="8" t="s">
        <v>3676</v>
      </c>
      <c r="Q616" s="8">
        <v>1735.89</v>
      </c>
      <c r="R616" s="16">
        <v>8</v>
      </c>
      <c r="S616" s="21">
        <v>0.65</v>
      </c>
      <c r="T616" s="16">
        <v>621.27</v>
      </c>
    </row>
    <row r="617" spans="1:20" x14ac:dyDescent="0.3">
      <c r="A617" s="5" t="s">
        <v>635</v>
      </c>
      <c r="B617" s="12">
        <v>43775.099097222221</v>
      </c>
      <c r="C617" s="12">
        <v>43781.099099099098</v>
      </c>
      <c r="D617" s="6" t="s">
        <v>1022</v>
      </c>
      <c r="E617" s="6" t="s">
        <v>1614</v>
      </c>
      <c r="F617" s="6" t="s">
        <v>2329</v>
      </c>
      <c r="G617" s="6" t="s">
        <v>2408</v>
      </c>
      <c r="H617" s="6" t="s">
        <v>2409</v>
      </c>
      <c r="I617" s="6" t="s">
        <v>2416</v>
      </c>
      <c r="J617" s="15" t="s">
        <v>3896</v>
      </c>
      <c r="K617" s="15">
        <v>71353</v>
      </c>
      <c r="L617" s="6" t="s">
        <v>2422</v>
      </c>
      <c r="M617" s="6" t="s">
        <v>2537</v>
      </c>
      <c r="N617" s="6" t="s">
        <v>3371</v>
      </c>
      <c r="O617" s="6" t="s">
        <v>3383</v>
      </c>
      <c r="P617" s="6" t="s">
        <v>3768</v>
      </c>
      <c r="Q617" s="6">
        <v>371.45</v>
      </c>
      <c r="R617" s="15">
        <v>9</v>
      </c>
      <c r="S617" s="20">
        <v>0.55000000000000004</v>
      </c>
      <c r="T617" s="15">
        <v>197.9</v>
      </c>
    </row>
    <row r="618" spans="1:20" x14ac:dyDescent="0.3">
      <c r="A618" s="7" t="s">
        <v>636</v>
      </c>
      <c r="B618" s="13">
        <v>43776.195196759261</v>
      </c>
      <c r="C618" s="13">
        <v>43781.195195195192</v>
      </c>
      <c r="D618" s="8" t="s">
        <v>1022</v>
      </c>
      <c r="E618" s="8" t="s">
        <v>1615</v>
      </c>
      <c r="F618" s="8" t="s">
        <v>2324</v>
      </c>
      <c r="G618" s="8" t="s">
        <v>2406</v>
      </c>
      <c r="H618" s="8" t="s">
        <v>2409</v>
      </c>
      <c r="I618" s="8" t="s">
        <v>2417</v>
      </c>
      <c r="J618" s="16" t="s">
        <v>3897</v>
      </c>
      <c r="K618" s="16">
        <v>30856</v>
      </c>
      <c r="L618" s="8" t="s">
        <v>2419</v>
      </c>
      <c r="M618" s="8" t="s">
        <v>3018</v>
      </c>
      <c r="N618" s="8" t="s">
        <v>3372</v>
      </c>
      <c r="O618" s="8" t="s">
        <v>3384</v>
      </c>
      <c r="P618" s="8" t="s">
        <v>3741</v>
      </c>
      <c r="Q618" s="8">
        <v>3848.99</v>
      </c>
      <c r="R618" s="16">
        <v>10</v>
      </c>
      <c r="S618" s="21">
        <v>0.81</v>
      </c>
      <c r="T618" s="16">
        <v>601.21</v>
      </c>
    </row>
    <row r="619" spans="1:20" x14ac:dyDescent="0.3">
      <c r="A619" s="5" t="s">
        <v>637</v>
      </c>
      <c r="B619" s="12">
        <v>43777.291296296295</v>
      </c>
      <c r="C619" s="12">
        <v>43779.291291291287</v>
      </c>
      <c r="D619" s="6" t="s">
        <v>1023</v>
      </c>
      <c r="E619" s="6" t="s">
        <v>1616</v>
      </c>
      <c r="F619" s="6" t="s">
        <v>2289</v>
      </c>
      <c r="G619" s="6" t="s">
        <v>2408</v>
      </c>
      <c r="H619" s="6" t="s">
        <v>2409</v>
      </c>
      <c r="I619" s="6" t="s">
        <v>2418</v>
      </c>
      <c r="J619" s="15" t="s">
        <v>3895</v>
      </c>
      <c r="K619" s="15">
        <v>73127</v>
      </c>
      <c r="L619" s="6" t="s">
        <v>2422</v>
      </c>
      <c r="M619" s="6" t="s">
        <v>3019</v>
      </c>
      <c r="N619" s="6" t="s">
        <v>3372</v>
      </c>
      <c r="O619" s="6" t="s">
        <v>3377</v>
      </c>
      <c r="P619" s="6" t="s">
        <v>3502</v>
      </c>
      <c r="Q619" s="6">
        <v>2359.62</v>
      </c>
      <c r="R619" s="15">
        <v>13</v>
      </c>
      <c r="S619" s="20">
        <v>0.17</v>
      </c>
      <c r="T619" s="15">
        <v>595.51</v>
      </c>
    </row>
    <row r="620" spans="1:20" x14ac:dyDescent="0.3">
      <c r="A620" s="7" t="s">
        <v>638</v>
      </c>
      <c r="B620" s="13">
        <v>43778.387384259258</v>
      </c>
      <c r="C620" s="13">
        <v>43783.387387387382</v>
      </c>
      <c r="D620" s="8" t="s">
        <v>1020</v>
      </c>
      <c r="E620" s="8" t="s">
        <v>1617</v>
      </c>
      <c r="F620" s="8" t="s">
        <v>1992</v>
      </c>
      <c r="G620" s="8" t="s">
        <v>2408</v>
      </c>
      <c r="H620" s="8" t="s">
        <v>2409</v>
      </c>
      <c r="I620" s="8" t="s">
        <v>2410</v>
      </c>
      <c r="J620" s="16" t="s">
        <v>3893</v>
      </c>
      <c r="K620" s="16">
        <v>28423</v>
      </c>
      <c r="L620" s="8" t="s">
        <v>2420</v>
      </c>
      <c r="M620" s="8" t="s">
        <v>3020</v>
      </c>
      <c r="N620" s="8" t="s">
        <v>3373</v>
      </c>
      <c r="O620" s="8" t="s">
        <v>3385</v>
      </c>
      <c r="P620" s="8" t="s">
        <v>3641</v>
      </c>
      <c r="Q620" s="8">
        <v>3626.39</v>
      </c>
      <c r="R620" s="16">
        <v>6</v>
      </c>
      <c r="S620" s="21">
        <v>0.13</v>
      </c>
      <c r="T620" s="16">
        <v>91.88</v>
      </c>
    </row>
    <row r="621" spans="1:20" x14ac:dyDescent="0.3">
      <c r="A621" s="5" t="s">
        <v>639</v>
      </c>
      <c r="B621" s="12">
        <v>43779.483483796299</v>
      </c>
      <c r="C621" s="12">
        <v>43781.483483483469</v>
      </c>
      <c r="D621" s="6" t="s">
        <v>1021</v>
      </c>
      <c r="E621" s="6" t="s">
        <v>1618</v>
      </c>
      <c r="F621" s="6" t="s">
        <v>2302</v>
      </c>
      <c r="G621" s="6" t="s">
        <v>2407</v>
      </c>
      <c r="H621" s="6" t="s">
        <v>2409</v>
      </c>
      <c r="I621" s="6" t="s">
        <v>2417</v>
      </c>
      <c r="J621" s="15" t="s">
        <v>3895</v>
      </c>
      <c r="K621" s="15">
        <v>36154</v>
      </c>
      <c r="L621" s="6" t="s">
        <v>2421</v>
      </c>
      <c r="M621" s="6" t="s">
        <v>3021</v>
      </c>
      <c r="N621" s="6" t="s">
        <v>3372</v>
      </c>
      <c r="O621" s="6" t="s">
        <v>3376</v>
      </c>
      <c r="P621" s="6" t="s">
        <v>3769</v>
      </c>
      <c r="Q621" s="6">
        <v>770.25</v>
      </c>
      <c r="R621" s="15">
        <v>9</v>
      </c>
      <c r="S621" s="20">
        <v>0.48</v>
      </c>
      <c r="T621" s="15">
        <v>46.25</v>
      </c>
    </row>
    <row r="622" spans="1:20" x14ac:dyDescent="0.3">
      <c r="A622" s="7" t="s">
        <v>640</v>
      </c>
      <c r="B622" s="13">
        <v>43780.579583333332</v>
      </c>
      <c r="C622" s="13">
        <v>43785.579579579571</v>
      </c>
      <c r="D622" s="8" t="s">
        <v>1022</v>
      </c>
      <c r="E622" s="8" t="s">
        <v>1619</v>
      </c>
      <c r="F622" s="8" t="s">
        <v>2177</v>
      </c>
      <c r="G622" s="8" t="s">
        <v>2406</v>
      </c>
      <c r="H622" s="8" t="s">
        <v>2409</v>
      </c>
      <c r="I622" s="8" t="s">
        <v>2412</v>
      </c>
      <c r="J622" s="16" t="s">
        <v>3897</v>
      </c>
      <c r="K622" s="16">
        <v>57074</v>
      </c>
      <c r="L622" s="8" t="s">
        <v>2421</v>
      </c>
      <c r="M622" s="8" t="s">
        <v>3022</v>
      </c>
      <c r="N622" s="8" t="s">
        <v>3372</v>
      </c>
      <c r="O622" s="8" t="s">
        <v>3376</v>
      </c>
      <c r="P622" s="8" t="s">
        <v>3770</v>
      </c>
      <c r="Q622" s="8">
        <v>4160.24</v>
      </c>
      <c r="R622" s="16">
        <v>14</v>
      </c>
      <c r="S622" s="21">
        <v>0.51</v>
      </c>
      <c r="T622" s="16">
        <v>1760.16</v>
      </c>
    </row>
    <row r="623" spans="1:20" x14ac:dyDescent="0.3">
      <c r="A623" s="5" t="s">
        <v>641</v>
      </c>
      <c r="B623" s="12">
        <v>43781.675671296296</v>
      </c>
      <c r="C623" s="12">
        <v>43783.675675675673</v>
      </c>
      <c r="D623" s="6" t="s">
        <v>1022</v>
      </c>
      <c r="E623" s="6" t="s">
        <v>1620</v>
      </c>
      <c r="F623" s="6" t="s">
        <v>2330</v>
      </c>
      <c r="G623" s="6" t="s">
        <v>2407</v>
      </c>
      <c r="H623" s="6" t="s">
        <v>2409</v>
      </c>
      <c r="I623" s="6" t="s">
        <v>2417</v>
      </c>
      <c r="J623" s="15" t="s">
        <v>3891</v>
      </c>
      <c r="K623" s="15">
        <v>86363</v>
      </c>
      <c r="L623" s="6" t="s">
        <v>2420</v>
      </c>
      <c r="M623" s="6" t="s">
        <v>3023</v>
      </c>
      <c r="N623" s="6" t="s">
        <v>3371</v>
      </c>
      <c r="O623" s="6" t="s">
        <v>3375</v>
      </c>
      <c r="P623" s="6" t="s">
        <v>3515</v>
      </c>
      <c r="Q623" s="6">
        <v>2031.05</v>
      </c>
      <c r="R623" s="15">
        <v>14</v>
      </c>
      <c r="S623" s="20">
        <v>0.77</v>
      </c>
      <c r="T623" s="15">
        <v>1009.23</v>
      </c>
    </row>
    <row r="624" spans="1:20" x14ac:dyDescent="0.3">
      <c r="A624" s="7" t="s">
        <v>642</v>
      </c>
      <c r="B624" s="13">
        <v>43782.771770833337</v>
      </c>
      <c r="C624" s="13">
        <v>43787.771771771768</v>
      </c>
      <c r="D624" s="8" t="s">
        <v>1020</v>
      </c>
      <c r="E624" s="8" t="s">
        <v>1621</v>
      </c>
      <c r="F624" s="8" t="s">
        <v>2299</v>
      </c>
      <c r="G624" s="8" t="s">
        <v>2408</v>
      </c>
      <c r="H624" s="8" t="s">
        <v>2409</v>
      </c>
      <c r="I624" s="8" t="s">
        <v>2414</v>
      </c>
      <c r="J624" s="16" t="s">
        <v>3897</v>
      </c>
      <c r="K624" s="16">
        <v>40955</v>
      </c>
      <c r="L624" s="8" t="s">
        <v>2421</v>
      </c>
      <c r="M624" s="8" t="s">
        <v>3024</v>
      </c>
      <c r="N624" s="8" t="s">
        <v>3373</v>
      </c>
      <c r="O624" s="8" t="s">
        <v>3379</v>
      </c>
      <c r="P624" s="8" t="s">
        <v>3565</v>
      </c>
      <c r="Q624" s="8">
        <v>189.67</v>
      </c>
      <c r="R624" s="16">
        <v>11</v>
      </c>
      <c r="S624" s="21">
        <v>0.61</v>
      </c>
      <c r="T624" s="16">
        <v>100.09</v>
      </c>
    </row>
    <row r="625" spans="1:20" x14ac:dyDescent="0.3">
      <c r="A625" s="5" t="s">
        <v>643</v>
      </c>
      <c r="B625" s="12">
        <v>43783.86787037037</v>
      </c>
      <c r="C625" s="12">
        <v>43785.867867867863</v>
      </c>
      <c r="D625" s="6" t="s">
        <v>1023</v>
      </c>
      <c r="E625" s="6" t="s">
        <v>1622</v>
      </c>
      <c r="F625" s="6" t="s">
        <v>2331</v>
      </c>
      <c r="G625" s="6" t="s">
        <v>2408</v>
      </c>
      <c r="H625" s="6" t="s">
        <v>2409</v>
      </c>
      <c r="I625" s="6" t="s">
        <v>2410</v>
      </c>
      <c r="J625" s="15" t="s">
        <v>3892</v>
      </c>
      <c r="K625" s="15">
        <v>77988</v>
      </c>
      <c r="L625" s="6" t="s">
        <v>2420</v>
      </c>
      <c r="M625" s="6" t="s">
        <v>3025</v>
      </c>
      <c r="N625" s="6" t="s">
        <v>3371</v>
      </c>
      <c r="O625" s="6" t="s">
        <v>3383</v>
      </c>
      <c r="P625" s="6" t="s">
        <v>3411</v>
      </c>
      <c r="Q625" s="6">
        <v>1504.38</v>
      </c>
      <c r="R625" s="15">
        <v>7</v>
      </c>
      <c r="S625" s="20">
        <v>0.27</v>
      </c>
      <c r="T625" s="15">
        <v>105.66</v>
      </c>
    </row>
    <row r="626" spans="1:20" x14ac:dyDescent="0.3">
      <c r="A626" s="7" t="s">
        <v>644</v>
      </c>
      <c r="B626" s="13">
        <v>43784.963958333334</v>
      </c>
      <c r="C626" s="13">
        <v>43786.963963963957</v>
      </c>
      <c r="D626" s="8" t="s">
        <v>1020</v>
      </c>
      <c r="E626" s="8" t="s">
        <v>1623</v>
      </c>
      <c r="F626" s="8" t="s">
        <v>2268</v>
      </c>
      <c r="G626" s="8" t="s">
        <v>2406</v>
      </c>
      <c r="H626" s="8" t="s">
        <v>2409</v>
      </c>
      <c r="I626" s="8" t="s">
        <v>2416</v>
      </c>
      <c r="J626" s="16" t="s">
        <v>3895</v>
      </c>
      <c r="K626" s="16">
        <v>42836</v>
      </c>
      <c r="L626" s="8" t="s">
        <v>2421</v>
      </c>
      <c r="M626" s="8" t="s">
        <v>3026</v>
      </c>
      <c r="N626" s="8" t="s">
        <v>3373</v>
      </c>
      <c r="O626" s="8" t="s">
        <v>3379</v>
      </c>
      <c r="P626" s="8" t="s">
        <v>3771</v>
      </c>
      <c r="Q626" s="8">
        <v>2754.16</v>
      </c>
      <c r="R626" s="16">
        <v>5</v>
      </c>
      <c r="S626" s="21">
        <v>0.75</v>
      </c>
      <c r="T626" s="16">
        <v>216.54</v>
      </c>
    </row>
    <row r="627" spans="1:20" x14ac:dyDescent="0.3">
      <c r="A627" s="5" t="s">
        <v>645</v>
      </c>
      <c r="B627" s="12">
        <v>43786.060057870367</v>
      </c>
      <c r="C627" s="12">
        <v>43792.060060060059</v>
      </c>
      <c r="D627" s="6" t="s">
        <v>1022</v>
      </c>
      <c r="E627" s="6" t="s">
        <v>1624</v>
      </c>
      <c r="F627" s="6" t="s">
        <v>2332</v>
      </c>
      <c r="G627" s="6" t="s">
        <v>2408</v>
      </c>
      <c r="H627" s="6" t="s">
        <v>2409</v>
      </c>
      <c r="I627" s="6" t="s">
        <v>2415</v>
      </c>
      <c r="J627" s="15" t="s">
        <v>3898</v>
      </c>
      <c r="K627" s="15">
        <v>55803</v>
      </c>
      <c r="L627" s="6" t="s">
        <v>2421</v>
      </c>
      <c r="M627" s="6" t="s">
        <v>3027</v>
      </c>
      <c r="N627" s="6" t="s">
        <v>3372</v>
      </c>
      <c r="O627" s="6" t="s">
        <v>3376</v>
      </c>
      <c r="P627" s="6" t="s">
        <v>3772</v>
      </c>
      <c r="Q627" s="6">
        <v>4045.78</v>
      </c>
      <c r="R627" s="15">
        <v>13</v>
      </c>
      <c r="S627" s="20">
        <v>0.12</v>
      </c>
      <c r="T627" s="15">
        <v>320.60000000000002</v>
      </c>
    </row>
    <row r="628" spans="1:20" x14ac:dyDescent="0.3">
      <c r="A628" s="7" t="s">
        <v>646</v>
      </c>
      <c r="B628" s="13">
        <v>43787.156157407408</v>
      </c>
      <c r="C628" s="13">
        <v>43791.156156156147</v>
      </c>
      <c r="D628" s="8" t="s">
        <v>1020</v>
      </c>
      <c r="E628" s="8" t="s">
        <v>1625</v>
      </c>
      <c r="F628" s="8" t="s">
        <v>2001</v>
      </c>
      <c r="G628" s="8" t="s">
        <v>2407</v>
      </c>
      <c r="H628" s="8" t="s">
        <v>2409</v>
      </c>
      <c r="I628" s="8" t="s">
        <v>2414</v>
      </c>
      <c r="J628" s="16" t="s">
        <v>3896</v>
      </c>
      <c r="K628" s="16">
        <v>16181</v>
      </c>
      <c r="L628" s="8" t="s">
        <v>2422</v>
      </c>
      <c r="M628" s="8" t="s">
        <v>3028</v>
      </c>
      <c r="N628" s="8" t="s">
        <v>3373</v>
      </c>
      <c r="O628" s="8" t="s">
        <v>3380</v>
      </c>
      <c r="P628" s="8" t="s">
        <v>3773</v>
      </c>
      <c r="Q628" s="8">
        <v>1593.75</v>
      </c>
      <c r="R628" s="16">
        <v>7</v>
      </c>
      <c r="S628" s="21">
        <v>0.32</v>
      </c>
      <c r="T628" s="16">
        <v>656.86</v>
      </c>
    </row>
    <row r="629" spans="1:20" x14ac:dyDescent="0.3">
      <c r="A629" s="5" t="s">
        <v>647</v>
      </c>
      <c r="B629" s="12">
        <v>43788.252256944441</v>
      </c>
      <c r="C629" s="12">
        <v>43791.252252252249</v>
      </c>
      <c r="D629" s="6" t="s">
        <v>1023</v>
      </c>
      <c r="E629" s="6" t="s">
        <v>1626</v>
      </c>
      <c r="F629" s="6" t="s">
        <v>2291</v>
      </c>
      <c r="G629" s="6" t="s">
        <v>2408</v>
      </c>
      <c r="H629" s="6" t="s">
        <v>2409</v>
      </c>
      <c r="I629" s="6" t="s">
        <v>2415</v>
      </c>
      <c r="J629" s="15" t="s">
        <v>3891</v>
      </c>
      <c r="K629" s="15">
        <v>69972</v>
      </c>
      <c r="L629" s="6" t="s">
        <v>2419</v>
      </c>
      <c r="M629" s="6" t="s">
        <v>3029</v>
      </c>
      <c r="N629" s="6" t="s">
        <v>3373</v>
      </c>
      <c r="O629" s="6" t="s">
        <v>3379</v>
      </c>
      <c r="P629" s="6" t="s">
        <v>3515</v>
      </c>
      <c r="Q629" s="6">
        <v>4497.8100000000004</v>
      </c>
      <c r="R629" s="15">
        <v>14</v>
      </c>
      <c r="S629" s="20">
        <v>0.35</v>
      </c>
      <c r="T629" s="15">
        <v>2568.44</v>
      </c>
    </row>
    <row r="630" spans="1:20" x14ac:dyDescent="0.3">
      <c r="A630" s="7" t="s">
        <v>648</v>
      </c>
      <c r="B630" s="13">
        <v>43789.348344907405</v>
      </c>
      <c r="C630" s="13">
        <v>43791.348348348343</v>
      </c>
      <c r="D630" s="8" t="s">
        <v>1020</v>
      </c>
      <c r="E630" s="8" t="s">
        <v>1627</v>
      </c>
      <c r="F630" s="8" t="s">
        <v>2087</v>
      </c>
      <c r="G630" s="8" t="s">
        <v>2407</v>
      </c>
      <c r="H630" s="8" t="s">
        <v>2409</v>
      </c>
      <c r="I630" s="8" t="s">
        <v>2410</v>
      </c>
      <c r="J630" s="16" t="s">
        <v>3895</v>
      </c>
      <c r="K630" s="16">
        <v>48519</v>
      </c>
      <c r="L630" s="8" t="s">
        <v>2420</v>
      </c>
      <c r="M630" s="8" t="s">
        <v>3030</v>
      </c>
      <c r="N630" s="8" t="s">
        <v>3371</v>
      </c>
      <c r="O630" s="8" t="s">
        <v>3383</v>
      </c>
      <c r="P630" s="8" t="s">
        <v>3511</v>
      </c>
      <c r="Q630" s="8">
        <v>711.61</v>
      </c>
      <c r="R630" s="16">
        <v>4</v>
      </c>
      <c r="S630" s="21">
        <v>0.15</v>
      </c>
      <c r="T630" s="16">
        <v>-7.74</v>
      </c>
    </row>
    <row r="631" spans="1:20" x14ac:dyDescent="0.3">
      <c r="A631" s="5" t="s">
        <v>649</v>
      </c>
      <c r="B631" s="12">
        <v>43790.444444444445</v>
      </c>
      <c r="C631" s="12">
        <v>43794.444444444453</v>
      </c>
      <c r="D631" s="6" t="s">
        <v>1020</v>
      </c>
      <c r="E631" s="6" t="s">
        <v>1530</v>
      </c>
      <c r="F631" s="6" t="s">
        <v>2333</v>
      </c>
      <c r="G631" s="6" t="s">
        <v>2408</v>
      </c>
      <c r="H631" s="6" t="s">
        <v>2409</v>
      </c>
      <c r="I631" s="6" t="s">
        <v>2414</v>
      </c>
      <c r="J631" s="15" t="s">
        <v>3898</v>
      </c>
      <c r="K631" s="15">
        <v>46857</v>
      </c>
      <c r="L631" s="6" t="s">
        <v>2420</v>
      </c>
      <c r="M631" s="6" t="s">
        <v>3031</v>
      </c>
      <c r="N631" s="6" t="s">
        <v>3373</v>
      </c>
      <c r="O631" s="6" t="s">
        <v>3385</v>
      </c>
      <c r="P631" s="6" t="s">
        <v>3755</v>
      </c>
      <c r="Q631" s="6">
        <v>4719.13</v>
      </c>
      <c r="R631" s="15">
        <v>11</v>
      </c>
      <c r="S631" s="20">
        <v>0.04</v>
      </c>
      <c r="T631" s="15">
        <v>301.54000000000002</v>
      </c>
    </row>
    <row r="632" spans="1:20" x14ac:dyDescent="0.3">
      <c r="A632" s="7" t="s">
        <v>650</v>
      </c>
      <c r="B632" s="13">
        <v>43791.540543981479</v>
      </c>
      <c r="C632" s="13">
        <v>43794.540540540533</v>
      </c>
      <c r="D632" s="8" t="s">
        <v>1023</v>
      </c>
      <c r="E632" s="8" t="s">
        <v>1628</v>
      </c>
      <c r="F632" s="8" t="s">
        <v>2334</v>
      </c>
      <c r="G632" s="8" t="s">
        <v>2408</v>
      </c>
      <c r="H632" s="8" t="s">
        <v>2409</v>
      </c>
      <c r="I632" s="8" t="s">
        <v>2413</v>
      </c>
      <c r="J632" s="16" t="s">
        <v>2410</v>
      </c>
      <c r="K632" s="16">
        <v>14255</v>
      </c>
      <c r="L632" s="8" t="s">
        <v>2420</v>
      </c>
      <c r="M632" s="8" t="s">
        <v>3032</v>
      </c>
      <c r="N632" s="8" t="s">
        <v>3372</v>
      </c>
      <c r="O632" s="8" t="s">
        <v>3378</v>
      </c>
      <c r="P632" s="8" t="s">
        <v>3405</v>
      </c>
      <c r="Q632" s="8">
        <v>365.3</v>
      </c>
      <c r="R632" s="16">
        <v>8</v>
      </c>
      <c r="S632" s="21">
        <v>0.25</v>
      </c>
      <c r="T632" s="16">
        <v>177.37</v>
      </c>
    </row>
    <row r="633" spans="1:20" x14ac:dyDescent="0.3">
      <c r="A633" s="5" t="s">
        <v>651</v>
      </c>
      <c r="B633" s="12">
        <v>43792.636631944442</v>
      </c>
      <c r="C633" s="12">
        <v>43793.636636636627</v>
      </c>
      <c r="D633" s="6" t="s">
        <v>1023</v>
      </c>
      <c r="E633" s="6" t="s">
        <v>1629</v>
      </c>
      <c r="F633" s="6" t="s">
        <v>2335</v>
      </c>
      <c r="G633" s="6" t="s">
        <v>2407</v>
      </c>
      <c r="H633" s="6" t="s">
        <v>2409</v>
      </c>
      <c r="I633" s="6" t="s">
        <v>2415</v>
      </c>
      <c r="J633" s="15" t="s">
        <v>3894</v>
      </c>
      <c r="K633" s="15">
        <v>44381</v>
      </c>
      <c r="L633" s="6" t="s">
        <v>2420</v>
      </c>
      <c r="M633" s="6" t="s">
        <v>3033</v>
      </c>
      <c r="N633" s="6" t="s">
        <v>3372</v>
      </c>
      <c r="O633" s="6" t="s">
        <v>3376</v>
      </c>
      <c r="P633" s="6" t="s">
        <v>3741</v>
      </c>
      <c r="Q633" s="6">
        <v>1883.55</v>
      </c>
      <c r="R633" s="15">
        <v>4</v>
      </c>
      <c r="S633" s="20">
        <v>0.16</v>
      </c>
      <c r="T633" s="15">
        <v>-152.99</v>
      </c>
    </row>
    <row r="634" spans="1:20" x14ac:dyDescent="0.3">
      <c r="A634" s="7" t="s">
        <v>652</v>
      </c>
      <c r="B634" s="13">
        <v>43793.732731481483</v>
      </c>
      <c r="C634" s="13">
        <v>43796.732732732729</v>
      </c>
      <c r="D634" s="8" t="s">
        <v>1020</v>
      </c>
      <c r="E634" s="8" t="s">
        <v>1630</v>
      </c>
      <c r="F634" s="8" t="s">
        <v>2038</v>
      </c>
      <c r="G634" s="8" t="s">
        <v>2408</v>
      </c>
      <c r="H634" s="8" t="s">
        <v>2409</v>
      </c>
      <c r="I634" s="8" t="s">
        <v>2418</v>
      </c>
      <c r="J634" s="16" t="s">
        <v>3896</v>
      </c>
      <c r="K634" s="16">
        <v>21454</v>
      </c>
      <c r="L634" s="8" t="s">
        <v>2420</v>
      </c>
      <c r="M634" s="8" t="s">
        <v>3034</v>
      </c>
      <c r="N634" s="8" t="s">
        <v>3372</v>
      </c>
      <c r="O634" s="8" t="s">
        <v>3376</v>
      </c>
      <c r="P634" s="8" t="s">
        <v>3774</v>
      </c>
      <c r="Q634" s="8">
        <v>2506.62</v>
      </c>
      <c r="R634" s="16">
        <v>4</v>
      </c>
      <c r="S634" s="21">
        <v>0.42</v>
      </c>
      <c r="T634" s="16">
        <v>-310.69</v>
      </c>
    </row>
    <row r="635" spans="1:20" x14ac:dyDescent="0.3">
      <c r="A635" s="5" t="s">
        <v>653</v>
      </c>
      <c r="B635" s="12">
        <v>43794.828831018516</v>
      </c>
      <c r="C635" s="12">
        <v>43796.828828828817</v>
      </c>
      <c r="D635" s="6" t="s">
        <v>1021</v>
      </c>
      <c r="E635" s="6" t="s">
        <v>1631</v>
      </c>
      <c r="F635" s="6" t="s">
        <v>2102</v>
      </c>
      <c r="G635" s="6" t="s">
        <v>2408</v>
      </c>
      <c r="H635" s="6" t="s">
        <v>2409</v>
      </c>
      <c r="I635" s="6" t="s">
        <v>2416</v>
      </c>
      <c r="J635" s="15" t="s">
        <v>3894</v>
      </c>
      <c r="K635" s="15">
        <v>49574</v>
      </c>
      <c r="L635" s="6" t="s">
        <v>2419</v>
      </c>
      <c r="M635" s="6" t="s">
        <v>3022</v>
      </c>
      <c r="N635" s="6" t="s">
        <v>3373</v>
      </c>
      <c r="O635" s="6" t="s">
        <v>3381</v>
      </c>
      <c r="P635" s="6" t="s">
        <v>3753</v>
      </c>
      <c r="Q635" s="6">
        <v>2281.8000000000002</v>
      </c>
      <c r="R635" s="15">
        <v>1</v>
      </c>
      <c r="S635" s="20">
        <v>0.27</v>
      </c>
      <c r="T635" s="15">
        <v>516.87</v>
      </c>
    </row>
    <row r="636" spans="1:20" x14ac:dyDescent="0.3">
      <c r="A636" s="7" t="s">
        <v>654</v>
      </c>
      <c r="B636" s="13">
        <v>43795.924930555557</v>
      </c>
      <c r="C636" s="13">
        <v>43801.924924924919</v>
      </c>
      <c r="D636" s="8" t="s">
        <v>1021</v>
      </c>
      <c r="E636" s="8" t="s">
        <v>1632</v>
      </c>
      <c r="F636" s="8" t="s">
        <v>2257</v>
      </c>
      <c r="G636" s="8" t="s">
        <v>2408</v>
      </c>
      <c r="H636" s="8" t="s">
        <v>2409</v>
      </c>
      <c r="I636" s="8" t="s">
        <v>2418</v>
      </c>
      <c r="J636" s="16" t="s">
        <v>3896</v>
      </c>
      <c r="K636" s="16">
        <v>28518</v>
      </c>
      <c r="L636" s="8" t="s">
        <v>2421</v>
      </c>
      <c r="M636" s="8" t="s">
        <v>3035</v>
      </c>
      <c r="N636" s="8" t="s">
        <v>3371</v>
      </c>
      <c r="O636" s="8" t="s">
        <v>3383</v>
      </c>
      <c r="P636" s="8" t="s">
        <v>3403</v>
      </c>
      <c r="Q636" s="8">
        <v>3496.85</v>
      </c>
      <c r="R636" s="16">
        <v>8</v>
      </c>
      <c r="S636" s="21">
        <v>0.18</v>
      </c>
      <c r="T636" s="16">
        <v>153.05000000000001</v>
      </c>
    </row>
    <row r="637" spans="1:20" x14ac:dyDescent="0.3">
      <c r="A637" s="5" t="s">
        <v>655</v>
      </c>
      <c r="B637" s="12">
        <v>43797.021018518521</v>
      </c>
      <c r="C637" s="12">
        <v>43803.021021021021</v>
      </c>
      <c r="D637" s="6" t="s">
        <v>1023</v>
      </c>
      <c r="E637" s="6" t="s">
        <v>1633</v>
      </c>
      <c r="F637" s="6" t="s">
        <v>2157</v>
      </c>
      <c r="G637" s="6" t="s">
        <v>2408</v>
      </c>
      <c r="H637" s="6" t="s">
        <v>2409</v>
      </c>
      <c r="I637" s="6" t="s">
        <v>2412</v>
      </c>
      <c r="J637" s="15" t="s">
        <v>3891</v>
      </c>
      <c r="K637" s="15">
        <v>27160</v>
      </c>
      <c r="L637" s="6" t="s">
        <v>2420</v>
      </c>
      <c r="M637" s="6" t="s">
        <v>3036</v>
      </c>
      <c r="N637" s="6" t="s">
        <v>3371</v>
      </c>
      <c r="O637" s="6" t="s">
        <v>3374</v>
      </c>
      <c r="P637" s="6" t="s">
        <v>3775</v>
      </c>
      <c r="Q637" s="6">
        <v>37.130000000000003</v>
      </c>
      <c r="R637" s="15">
        <v>1</v>
      </c>
      <c r="S637" s="20">
        <v>0.89</v>
      </c>
      <c r="T637" s="15">
        <v>9.0299999999999994</v>
      </c>
    </row>
    <row r="638" spans="1:20" x14ac:dyDescent="0.3">
      <c r="A638" s="7" t="s">
        <v>656</v>
      </c>
      <c r="B638" s="13">
        <v>43798.117118055554</v>
      </c>
      <c r="C638" s="13">
        <v>43801.117117117108</v>
      </c>
      <c r="D638" s="8" t="s">
        <v>1021</v>
      </c>
      <c r="E638" s="8" t="s">
        <v>1634</v>
      </c>
      <c r="F638" s="8" t="s">
        <v>2336</v>
      </c>
      <c r="G638" s="8" t="s">
        <v>2408</v>
      </c>
      <c r="H638" s="8" t="s">
        <v>2409</v>
      </c>
      <c r="I638" s="8" t="s">
        <v>2413</v>
      </c>
      <c r="J638" s="16" t="s">
        <v>3897</v>
      </c>
      <c r="K638" s="16">
        <v>65857</v>
      </c>
      <c r="L638" s="8" t="s">
        <v>2422</v>
      </c>
      <c r="M638" s="8" t="s">
        <v>3037</v>
      </c>
      <c r="N638" s="8" t="s">
        <v>3372</v>
      </c>
      <c r="O638" s="8" t="s">
        <v>3378</v>
      </c>
      <c r="P638" s="8" t="s">
        <v>3776</v>
      </c>
      <c r="Q638" s="8">
        <v>2920.05</v>
      </c>
      <c r="R638" s="16">
        <v>5</v>
      </c>
      <c r="S638" s="21">
        <v>0.39</v>
      </c>
      <c r="T638" s="16">
        <v>-431.78</v>
      </c>
    </row>
    <row r="639" spans="1:20" x14ac:dyDescent="0.3">
      <c r="A639" s="5" t="s">
        <v>657</v>
      </c>
      <c r="B639" s="12">
        <v>43799.213217592594</v>
      </c>
      <c r="C639" s="12">
        <v>43803.213213213203</v>
      </c>
      <c r="D639" s="6" t="s">
        <v>1021</v>
      </c>
      <c r="E639" s="6" t="s">
        <v>1635</v>
      </c>
      <c r="F639" s="6" t="s">
        <v>2082</v>
      </c>
      <c r="G639" s="6" t="s">
        <v>2408</v>
      </c>
      <c r="H639" s="6" t="s">
        <v>2409</v>
      </c>
      <c r="I639" s="6" t="s">
        <v>2415</v>
      </c>
      <c r="J639" s="15" t="s">
        <v>3897</v>
      </c>
      <c r="K639" s="15">
        <v>25903</v>
      </c>
      <c r="L639" s="6" t="s">
        <v>2421</v>
      </c>
      <c r="M639" s="6" t="s">
        <v>3038</v>
      </c>
      <c r="N639" s="6" t="s">
        <v>3372</v>
      </c>
      <c r="O639" s="6" t="s">
        <v>3376</v>
      </c>
      <c r="P639" s="6" t="s">
        <v>3633</v>
      </c>
      <c r="Q639" s="6">
        <v>4038.96</v>
      </c>
      <c r="R639" s="15">
        <v>9</v>
      </c>
      <c r="S639" s="20">
        <v>0.28000000000000003</v>
      </c>
      <c r="T639" s="15">
        <v>692.96</v>
      </c>
    </row>
    <row r="640" spans="1:20" x14ac:dyDescent="0.3">
      <c r="A640" s="7" t="s">
        <v>658</v>
      </c>
      <c r="B640" s="13">
        <v>43800.309305555558</v>
      </c>
      <c r="C640" s="13">
        <v>43803.309309309298</v>
      </c>
      <c r="D640" s="8" t="s">
        <v>1020</v>
      </c>
      <c r="E640" s="8" t="s">
        <v>1636</v>
      </c>
      <c r="F640" s="8" t="s">
        <v>2337</v>
      </c>
      <c r="G640" s="8" t="s">
        <v>2406</v>
      </c>
      <c r="H640" s="8" t="s">
        <v>2409</v>
      </c>
      <c r="I640" s="8" t="s">
        <v>2416</v>
      </c>
      <c r="J640" s="16" t="s">
        <v>3895</v>
      </c>
      <c r="K640" s="16">
        <v>44983</v>
      </c>
      <c r="L640" s="8" t="s">
        <v>2421</v>
      </c>
      <c r="M640" s="8" t="s">
        <v>3039</v>
      </c>
      <c r="N640" s="8" t="s">
        <v>3371</v>
      </c>
      <c r="O640" s="8" t="s">
        <v>3382</v>
      </c>
      <c r="P640" s="8" t="s">
        <v>3653</v>
      </c>
      <c r="Q640" s="8">
        <v>680.48</v>
      </c>
      <c r="R640" s="16">
        <v>8</v>
      </c>
      <c r="S640" s="21">
        <v>0.56000000000000005</v>
      </c>
      <c r="T640" s="16">
        <v>361.31</v>
      </c>
    </row>
    <row r="641" spans="1:20" x14ac:dyDescent="0.3">
      <c r="A641" s="5" t="s">
        <v>659</v>
      </c>
      <c r="B641" s="12">
        <v>43801.405405092592</v>
      </c>
      <c r="C641" s="12">
        <v>43806.405405405407</v>
      </c>
      <c r="D641" s="6" t="s">
        <v>1021</v>
      </c>
      <c r="E641" s="6" t="s">
        <v>1637</v>
      </c>
      <c r="F641" s="6" t="s">
        <v>2175</v>
      </c>
      <c r="G641" s="6" t="s">
        <v>2408</v>
      </c>
      <c r="H641" s="6" t="s">
        <v>2409</v>
      </c>
      <c r="I641" s="6" t="s">
        <v>2418</v>
      </c>
      <c r="J641" s="15" t="s">
        <v>3895</v>
      </c>
      <c r="K641" s="15">
        <v>80133</v>
      </c>
      <c r="L641" s="6" t="s">
        <v>2419</v>
      </c>
      <c r="M641" s="6" t="s">
        <v>2520</v>
      </c>
      <c r="N641" s="6" t="s">
        <v>3373</v>
      </c>
      <c r="O641" s="6" t="s">
        <v>3380</v>
      </c>
      <c r="P641" s="6" t="s">
        <v>3777</v>
      </c>
      <c r="Q641" s="6">
        <v>4447.2700000000004</v>
      </c>
      <c r="R641" s="15">
        <v>2</v>
      </c>
      <c r="S641" s="20">
        <v>0.05</v>
      </c>
      <c r="T641" s="15">
        <v>216.05</v>
      </c>
    </row>
    <row r="642" spans="1:20" x14ac:dyDescent="0.3">
      <c r="A642" s="7" t="s">
        <v>660</v>
      </c>
      <c r="B642" s="13">
        <v>43802.501504629632</v>
      </c>
      <c r="C642" s="13">
        <v>43808.501501501487</v>
      </c>
      <c r="D642" s="8" t="s">
        <v>1023</v>
      </c>
      <c r="E642" s="8" t="s">
        <v>1638</v>
      </c>
      <c r="F642" s="8" t="s">
        <v>1991</v>
      </c>
      <c r="G642" s="8" t="s">
        <v>2407</v>
      </c>
      <c r="H642" s="8" t="s">
        <v>2409</v>
      </c>
      <c r="I642" s="8" t="s">
        <v>2415</v>
      </c>
      <c r="J642" s="16" t="s">
        <v>3897</v>
      </c>
      <c r="K642" s="16">
        <v>76942</v>
      </c>
      <c r="L642" s="8" t="s">
        <v>2419</v>
      </c>
      <c r="M642" s="8" t="s">
        <v>3040</v>
      </c>
      <c r="N642" s="8" t="s">
        <v>3372</v>
      </c>
      <c r="O642" s="8" t="s">
        <v>3377</v>
      </c>
      <c r="P642" s="8" t="s">
        <v>3616</v>
      </c>
      <c r="Q642" s="8">
        <v>4440.84</v>
      </c>
      <c r="R642" s="16">
        <v>10</v>
      </c>
      <c r="S642" s="21">
        <v>0.34</v>
      </c>
      <c r="T642" s="16">
        <v>1294.47</v>
      </c>
    </row>
    <row r="643" spans="1:20" x14ac:dyDescent="0.3">
      <c r="A643" s="5" t="s">
        <v>661</v>
      </c>
      <c r="B643" s="12">
        <v>43803.597592592596</v>
      </c>
      <c r="C643" s="12">
        <v>43808.597597597603</v>
      </c>
      <c r="D643" s="6" t="s">
        <v>1023</v>
      </c>
      <c r="E643" s="6" t="s">
        <v>1639</v>
      </c>
      <c r="F643" s="6" t="s">
        <v>2305</v>
      </c>
      <c r="G643" s="6" t="s">
        <v>2408</v>
      </c>
      <c r="H643" s="6" t="s">
        <v>2409</v>
      </c>
      <c r="I643" s="6" t="s">
        <v>2416</v>
      </c>
      <c r="J643" s="15" t="s">
        <v>3893</v>
      </c>
      <c r="K643" s="15">
        <v>11916</v>
      </c>
      <c r="L643" s="6" t="s">
        <v>2422</v>
      </c>
      <c r="M643" s="6" t="s">
        <v>3041</v>
      </c>
      <c r="N643" s="6" t="s">
        <v>3372</v>
      </c>
      <c r="O643" s="6" t="s">
        <v>3384</v>
      </c>
      <c r="P643" s="6" t="s">
        <v>3778</v>
      </c>
      <c r="Q643" s="6">
        <v>2164.06</v>
      </c>
      <c r="R643" s="15">
        <v>6</v>
      </c>
      <c r="S643" s="20">
        <v>0.41</v>
      </c>
      <c r="T643" s="15">
        <v>1103.79</v>
      </c>
    </row>
    <row r="644" spans="1:20" x14ac:dyDescent="0.3">
      <c r="A644" s="7" t="s">
        <v>662</v>
      </c>
      <c r="B644" s="13">
        <v>43804.693692129629</v>
      </c>
      <c r="C644" s="13">
        <v>43808.693693693691</v>
      </c>
      <c r="D644" s="8" t="s">
        <v>1023</v>
      </c>
      <c r="E644" s="8" t="s">
        <v>1640</v>
      </c>
      <c r="F644" s="8" t="s">
        <v>2318</v>
      </c>
      <c r="G644" s="8" t="s">
        <v>2406</v>
      </c>
      <c r="H644" s="8" t="s">
        <v>2409</v>
      </c>
      <c r="I644" s="8" t="s">
        <v>2414</v>
      </c>
      <c r="J644" s="16" t="s">
        <v>3894</v>
      </c>
      <c r="K644" s="16">
        <v>11593</v>
      </c>
      <c r="L644" s="8" t="s">
        <v>2422</v>
      </c>
      <c r="M644" s="8" t="s">
        <v>3042</v>
      </c>
      <c r="N644" s="8" t="s">
        <v>3371</v>
      </c>
      <c r="O644" s="8" t="s">
        <v>3375</v>
      </c>
      <c r="P644" s="8" t="s">
        <v>3779</v>
      </c>
      <c r="Q644" s="8">
        <v>1424.6</v>
      </c>
      <c r="R644" s="16">
        <v>5</v>
      </c>
      <c r="S644" s="21">
        <v>0.56999999999999995</v>
      </c>
      <c r="T644" s="16">
        <v>694.36</v>
      </c>
    </row>
    <row r="645" spans="1:20" x14ac:dyDescent="0.3">
      <c r="A645" s="5" t="s">
        <v>663</v>
      </c>
      <c r="B645" s="12">
        <v>43805.78979166667</v>
      </c>
      <c r="C645" s="12">
        <v>43810.789789789778</v>
      </c>
      <c r="D645" s="6" t="s">
        <v>1022</v>
      </c>
      <c r="E645" s="6" t="s">
        <v>1641</v>
      </c>
      <c r="F645" s="6" t="s">
        <v>2181</v>
      </c>
      <c r="G645" s="6" t="s">
        <v>2407</v>
      </c>
      <c r="H645" s="6" t="s">
        <v>2409</v>
      </c>
      <c r="I645" s="6" t="s">
        <v>2415</v>
      </c>
      <c r="J645" s="15" t="s">
        <v>3892</v>
      </c>
      <c r="K645" s="15">
        <v>10710</v>
      </c>
      <c r="L645" s="6" t="s">
        <v>2419</v>
      </c>
      <c r="M645" s="6" t="s">
        <v>3043</v>
      </c>
      <c r="N645" s="6" t="s">
        <v>3373</v>
      </c>
      <c r="O645" s="6" t="s">
        <v>3380</v>
      </c>
      <c r="P645" s="6" t="s">
        <v>3780</v>
      </c>
      <c r="Q645" s="6">
        <v>3201.02</v>
      </c>
      <c r="R645" s="15">
        <v>10</v>
      </c>
      <c r="S645" s="20">
        <v>0.31</v>
      </c>
      <c r="T645" s="15">
        <v>537.80999999999995</v>
      </c>
    </row>
    <row r="646" spans="1:20" x14ac:dyDescent="0.3">
      <c r="A646" s="7" t="s">
        <v>664</v>
      </c>
      <c r="B646" s="13">
        <v>43806.885891203703</v>
      </c>
      <c r="C646" s="13">
        <v>43810.88588588588</v>
      </c>
      <c r="D646" s="8" t="s">
        <v>1020</v>
      </c>
      <c r="E646" s="8" t="s">
        <v>1642</v>
      </c>
      <c r="F646" s="8" t="s">
        <v>2027</v>
      </c>
      <c r="G646" s="8" t="s">
        <v>2407</v>
      </c>
      <c r="H646" s="8" t="s">
        <v>2409</v>
      </c>
      <c r="I646" s="8" t="s">
        <v>2412</v>
      </c>
      <c r="J646" s="16" t="s">
        <v>2410</v>
      </c>
      <c r="K646" s="16">
        <v>13934</v>
      </c>
      <c r="L646" s="8" t="s">
        <v>2419</v>
      </c>
      <c r="M646" s="8" t="s">
        <v>3044</v>
      </c>
      <c r="N646" s="8" t="s">
        <v>3372</v>
      </c>
      <c r="O646" s="8" t="s">
        <v>3384</v>
      </c>
      <c r="P646" s="8" t="s">
        <v>3738</v>
      </c>
      <c r="Q646" s="8">
        <v>3925.5</v>
      </c>
      <c r="R646" s="16">
        <v>9</v>
      </c>
      <c r="S646" s="21">
        <v>0.04</v>
      </c>
      <c r="T646" s="16">
        <v>89.54</v>
      </c>
    </row>
    <row r="647" spans="1:20" x14ac:dyDescent="0.3">
      <c r="A647" s="5" t="s">
        <v>665</v>
      </c>
      <c r="B647" s="12">
        <v>43807.981979166667</v>
      </c>
      <c r="C647" s="12">
        <v>43811.981981981982</v>
      </c>
      <c r="D647" s="6" t="s">
        <v>1023</v>
      </c>
      <c r="E647" s="6" t="s">
        <v>1643</v>
      </c>
      <c r="F647" s="6" t="s">
        <v>2292</v>
      </c>
      <c r="G647" s="6" t="s">
        <v>2406</v>
      </c>
      <c r="H647" s="6" t="s">
        <v>2409</v>
      </c>
      <c r="I647" s="6" t="s">
        <v>2413</v>
      </c>
      <c r="J647" s="15" t="s">
        <v>3894</v>
      </c>
      <c r="K647" s="15">
        <v>17024</v>
      </c>
      <c r="L647" s="6" t="s">
        <v>2420</v>
      </c>
      <c r="M647" s="6" t="s">
        <v>3045</v>
      </c>
      <c r="N647" s="6" t="s">
        <v>3372</v>
      </c>
      <c r="O647" s="6" t="s">
        <v>3377</v>
      </c>
      <c r="P647" s="6" t="s">
        <v>3555</v>
      </c>
      <c r="Q647" s="6">
        <v>4168.3599999999997</v>
      </c>
      <c r="R647" s="15">
        <v>6</v>
      </c>
      <c r="S647" s="20">
        <v>0.14000000000000001</v>
      </c>
      <c r="T647" s="15">
        <v>1805.1</v>
      </c>
    </row>
    <row r="648" spans="1:20" x14ac:dyDescent="0.3">
      <c r="A648" s="7" t="s">
        <v>666</v>
      </c>
      <c r="B648" s="13">
        <v>43809.0780787037</v>
      </c>
      <c r="C648" s="13">
        <v>43811.07807807807</v>
      </c>
      <c r="D648" s="8" t="s">
        <v>1021</v>
      </c>
      <c r="E648" s="8" t="s">
        <v>1571</v>
      </c>
      <c r="F648" s="8" t="s">
        <v>2184</v>
      </c>
      <c r="G648" s="8" t="s">
        <v>2408</v>
      </c>
      <c r="H648" s="8" t="s">
        <v>2409</v>
      </c>
      <c r="I648" s="8" t="s">
        <v>2410</v>
      </c>
      <c r="J648" s="16" t="s">
        <v>2410</v>
      </c>
      <c r="K648" s="16">
        <v>74951</v>
      </c>
      <c r="L648" s="8" t="s">
        <v>2419</v>
      </c>
      <c r="M648" s="8" t="s">
        <v>3046</v>
      </c>
      <c r="N648" s="8" t="s">
        <v>3371</v>
      </c>
      <c r="O648" s="8" t="s">
        <v>3382</v>
      </c>
      <c r="P648" s="8" t="s">
        <v>3555</v>
      </c>
      <c r="Q648" s="8">
        <v>4479.8</v>
      </c>
      <c r="R648" s="16">
        <v>10</v>
      </c>
      <c r="S648" s="21">
        <v>7.0000000000000007E-2</v>
      </c>
      <c r="T648" s="16">
        <v>765.18</v>
      </c>
    </row>
    <row r="649" spans="1:20" x14ac:dyDescent="0.3">
      <c r="A649" s="5" t="s">
        <v>667</v>
      </c>
      <c r="B649" s="12">
        <v>43810.174178240741</v>
      </c>
      <c r="C649" s="12">
        <v>43814.174174174157</v>
      </c>
      <c r="D649" s="6" t="s">
        <v>1020</v>
      </c>
      <c r="E649" s="6" t="s">
        <v>1644</v>
      </c>
      <c r="F649" s="6" t="s">
        <v>2275</v>
      </c>
      <c r="G649" s="6" t="s">
        <v>2407</v>
      </c>
      <c r="H649" s="6" t="s">
        <v>2409</v>
      </c>
      <c r="I649" s="6" t="s">
        <v>2418</v>
      </c>
      <c r="J649" s="15" t="s">
        <v>3891</v>
      </c>
      <c r="K649" s="15">
        <v>17747</v>
      </c>
      <c r="L649" s="6" t="s">
        <v>2420</v>
      </c>
      <c r="M649" s="6" t="s">
        <v>3047</v>
      </c>
      <c r="N649" s="6" t="s">
        <v>3372</v>
      </c>
      <c r="O649" s="6" t="s">
        <v>3377</v>
      </c>
      <c r="P649" s="6" t="s">
        <v>3781</v>
      </c>
      <c r="Q649" s="6">
        <v>3654.96</v>
      </c>
      <c r="R649" s="15">
        <v>2</v>
      </c>
      <c r="S649" s="20">
        <v>0.13</v>
      </c>
      <c r="T649" s="15">
        <v>356.77</v>
      </c>
    </row>
    <row r="650" spans="1:20" x14ac:dyDescent="0.3">
      <c r="A650" s="7" t="s">
        <v>668</v>
      </c>
      <c r="B650" s="13">
        <v>43811.270266203705</v>
      </c>
      <c r="C650" s="13">
        <v>43816.270270270274</v>
      </c>
      <c r="D650" s="8" t="s">
        <v>1020</v>
      </c>
      <c r="E650" s="8" t="s">
        <v>1645</v>
      </c>
      <c r="F650" s="8" t="s">
        <v>2086</v>
      </c>
      <c r="G650" s="8" t="s">
        <v>2408</v>
      </c>
      <c r="H650" s="8" t="s">
        <v>2409</v>
      </c>
      <c r="I650" s="8" t="s">
        <v>2417</v>
      </c>
      <c r="J650" s="16" t="s">
        <v>3892</v>
      </c>
      <c r="K650" s="16">
        <v>34979</v>
      </c>
      <c r="L650" s="8" t="s">
        <v>2420</v>
      </c>
      <c r="M650" s="8" t="s">
        <v>3048</v>
      </c>
      <c r="N650" s="8" t="s">
        <v>3373</v>
      </c>
      <c r="O650" s="8" t="s">
        <v>3379</v>
      </c>
      <c r="P650" s="8" t="s">
        <v>3782</v>
      </c>
      <c r="Q650" s="8">
        <v>121.72</v>
      </c>
      <c r="R650" s="16">
        <v>5</v>
      </c>
      <c r="S650" s="21">
        <v>0.43</v>
      </c>
      <c r="T650" s="16">
        <v>52.06</v>
      </c>
    </row>
    <row r="651" spans="1:20" x14ac:dyDescent="0.3">
      <c r="A651" s="5" t="s">
        <v>669</v>
      </c>
      <c r="B651" s="12">
        <v>43812.366365740738</v>
      </c>
      <c r="C651" s="12">
        <v>43814.366366366368</v>
      </c>
      <c r="D651" s="6" t="s">
        <v>1023</v>
      </c>
      <c r="E651" s="6" t="s">
        <v>1646</v>
      </c>
      <c r="F651" s="6" t="s">
        <v>2315</v>
      </c>
      <c r="G651" s="6" t="s">
        <v>2407</v>
      </c>
      <c r="H651" s="6" t="s">
        <v>2409</v>
      </c>
      <c r="I651" s="6" t="s">
        <v>2414</v>
      </c>
      <c r="J651" s="15" t="s">
        <v>2410</v>
      </c>
      <c r="K651" s="15">
        <v>21057</v>
      </c>
      <c r="L651" s="6" t="s">
        <v>2421</v>
      </c>
      <c r="M651" s="6" t="s">
        <v>3049</v>
      </c>
      <c r="N651" s="6" t="s">
        <v>3372</v>
      </c>
      <c r="O651" s="6" t="s">
        <v>3384</v>
      </c>
      <c r="P651" s="6" t="s">
        <v>3783</v>
      </c>
      <c r="Q651" s="6">
        <v>4538.2700000000004</v>
      </c>
      <c r="R651" s="15">
        <v>9</v>
      </c>
      <c r="S651" s="20">
        <v>0.02</v>
      </c>
      <c r="T651" s="15">
        <v>586.19000000000005</v>
      </c>
    </row>
    <row r="652" spans="1:20" x14ac:dyDescent="0.3">
      <c r="A652" s="7" t="s">
        <v>670</v>
      </c>
      <c r="B652" s="13">
        <v>43813.462465277778</v>
      </c>
      <c r="C652" s="13">
        <v>43819.462462462463</v>
      </c>
      <c r="D652" s="8" t="s">
        <v>1023</v>
      </c>
      <c r="E652" s="8" t="s">
        <v>1647</v>
      </c>
      <c r="F652" s="8" t="s">
        <v>2021</v>
      </c>
      <c r="G652" s="8" t="s">
        <v>2407</v>
      </c>
      <c r="H652" s="8" t="s">
        <v>2409</v>
      </c>
      <c r="I652" s="8" t="s">
        <v>2413</v>
      </c>
      <c r="J652" s="16" t="s">
        <v>3893</v>
      </c>
      <c r="K652" s="16">
        <v>16168</v>
      </c>
      <c r="L652" s="8" t="s">
        <v>2421</v>
      </c>
      <c r="M652" s="8" t="s">
        <v>3050</v>
      </c>
      <c r="N652" s="8" t="s">
        <v>3371</v>
      </c>
      <c r="O652" s="8" t="s">
        <v>3383</v>
      </c>
      <c r="P652" s="8" t="s">
        <v>3784</v>
      </c>
      <c r="Q652" s="8">
        <v>2951.47</v>
      </c>
      <c r="R652" s="16">
        <v>13</v>
      </c>
      <c r="S652" s="21">
        <v>0.61</v>
      </c>
      <c r="T652" s="16">
        <v>1443.41</v>
      </c>
    </row>
    <row r="653" spans="1:20" x14ac:dyDescent="0.3">
      <c r="A653" s="5" t="s">
        <v>671</v>
      </c>
      <c r="B653" s="12">
        <v>43814.558553240742</v>
      </c>
      <c r="C653" s="12">
        <v>43816.55855855855</v>
      </c>
      <c r="D653" s="6" t="s">
        <v>1020</v>
      </c>
      <c r="E653" s="6" t="s">
        <v>1648</v>
      </c>
      <c r="F653" s="6" t="s">
        <v>2057</v>
      </c>
      <c r="G653" s="6" t="s">
        <v>2408</v>
      </c>
      <c r="H653" s="6" t="s">
        <v>2409</v>
      </c>
      <c r="I653" s="6" t="s">
        <v>2417</v>
      </c>
      <c r="J653" s="15" t="s">
        <v>3896</v>
      </c>
      <c r="K653" s="15">
        <v>50719</v>
      </c>
      <c r="L653" s="6" t="s">
        <v>2421</v>
      </c>
      <c r="M653" s="6" t="s">
        <v>3051</v>
      </c>
      <c r="N653" s="6" t="s">
        <v>3372</v>
      </c>
      <c r="O653" s="6" t="s">
        <v>3384</v>
      </c>
      <c r="P653" s="6" t="s">
        <v>3660</v>
      </c>
      <c r="Q653" s="6">
        <v>4240.03</v>
      </c>
      <c r="R653" s="15">
        <v>11</v>
      </c>
      <c r="S653" s="20">
        <v>0.44</v>
      </c>
      <c r="T653" s="15">
        <v>244.82</v>
      </c>
    </row>
    <row r="654" spans="1:20" x14ac:dyDescent="0.3">
      <c r="A654" s="7" t="s">
        <v>672</v>
      </c>
      <c r="B654" s="13">
        <v>43815.654652777775</v>
      </c>
      <c r="C654" s="13">
        <v>43820.654654654652</v>
      </c>
      <c r="D654" s="8" t="s">
        <v>1022</v>
      </c>
      <c r="E654" s="8" t="s">
        <v>1649</v>
      </c>
      <c r="F654" s="8" t="s">
        <v>1995</v>
      </c>
      <c r="G654" s="8" t="s">
        <v>2408</v>
      </c>
      <c r="H654" s="8" t="s">
        <v>2409</v>
      </c>
      <c r="I654" s="8" t="s">
        <v>2416</v>
      </c>
      <c r="J654" s="16" t="s">
        <v>3898</v>
      </c>
      <c r="K654" s="16">
        <v>76035</v>
      </c>
      <c r="L654" s="8" t="s">
        <v>2422</v>
      </c>
      <c r="M654" s="8" t="s">
        <v>3052</v>
      </c>
      <c r="N654" s="8" t="s">
        <v>3372</v>
      </c>
      <c r="O654" s="8" t="s">
        <v>3376</v>
      </c>
      <c r="P654" s="8" t="s">
        <v>3739</v>
      </c>
      <c r="Q654" s="8">
        <v>4901.28</v>
      </c>
      <c r="R654" s="16">
        <v>10</v>
      </c>
      <c r="S654" s="21">
        <v>0.87</v>
      </c>
      <c r="T654" s="16">
        <v>-87.01</v>
      </c>
    </row>
    <row r="655" spans="1:20" x14ac:dyDescent="0.3">
      <c r="A655" s="5" t="s">
        <v>673</v>
      </c>
      <c r="B655" s="12">
        <v>43816.750752314816</v>
      </c>
      <c r="C655" s="12">
        <v>43819.75075075074</v>
      </c>
      <c r="D655" s="6" t="s">
        <v>1020</v>
      </c>
      <c r="E655" s="6" t="s">
        <v>1650</v>
      </c>
      <c r="F655" s="6" t="s">
        <v>2290</v>
      </c>
      <c r="G655" s="6" t="s">
        <v>2407</v>
      </c>
      <c r="H655" s="6" t="s">
        <v>2409</v>
      </c>
      <c r="I655" s="6" t="s">
        <v>2413</v>
      </c>
      <c r="J655" s="15" t="s">
        <v>3897</v>
      </c>
      <c r="K655" s="15">
        <v>48296</v>
      </c>
      <c r="L655" s="6" t="s">
        <v>2420</v>
      </c>
      <c r="M655" s="6" t="s">
        <v>3053</v>
      </c>
      <c r="N655" s="6" t="s">
        <v>3373</v>
      </c>
      <c r="O655" s="6" t="s">
        <v>3385</v>
      </c>
      <c r="P655" s="6" t="s">
        <v>3396</v>
      </c>
      <c r="Q655" s="6">
        <v>4737.5200000000004</v>
      </c>
      <c r="R655" s="15">
        <v>12</v>
      </c>
      <c r="S655" s="20">
        <v>0.52</v>
      </c>
      <c r="T655" s="15">
        <v>-699.86</v>
      </c>
    </row>
    <row r="656" spans="1:20" x14ac:dyDescent="0.3">
      <c r="A656" s="7" t="s">
        <v>674</v>
      </c>
      <c r="B656" s="13">
        <v>43817.846851851849</v>
      </c>
      <c r="C656" s="13">
        <v>43819.846846846842</v>
      </c>
      <c r="D656" s="8" t="s">
        <v>1022</v>
      </c>
      <c r="E656" s="8" t="s">
        <v>1651</v>
      </c>
      <c r="F656" s="8" t="s">
        <v>1981</v>
      </c>
      <c r="G656" s="8" t="s">
        <v>2407</v>
      </c>
      <c r="H656" s="8" t="s">
        <v>2409</v>
      </c>
      <c r="I656" s="8" t="s">
        <v>2411</v>
      </c>
      <c r="J656" s="16" t="s">
        <v>3891</v>
      </c>
      <c r="K656" s="16">
        <v>28741</v>
      </c>
      <c r="L656" s="8" t="s">
        <v>2420</v>
      </c>
      <c r="M656" s="8" t="s">
        <v>3054</v>
      </c>
      <c r="N656" s="8" t="s">
        <v>3372</v>
      </c>
      <c r="O656" s="8" t="s">
        <v>3384</v>
      </c>
      <c r="P656" s="8" t="s">
        <v>3542</v>
      </c>
      <c r="Q656" s="8">
        <v>3346.83</v>
      </c>
      <c r="R656" s="16">
        <v>2</v>
      </c>
      <c r="S656" s="21">
        <v>0.47</v>
      </c>
      <c r="T656" s="16">
        <v>1263.1400000000001</v>
      </c>
    </row>
    <row r="657" spans="1:20" x14ac:dyDescent="0.3">
      <c r="A657" s="5" t="s">
        <v>675</v>
      </c>
      <c r="B657" s="12">
        <v>43818.942939814813</v>
      </c>
      <c r="C657" s="12">
        <v>43821.942942942936</v>
      </c>
      <c r="D657" s="6" t="s">
        <v>1022</v>
      </c>
      <c r="E657" s="6" t="s">
        <v>1652</v>
      </c>
      <c r="F657" s="6" t="s">
        <v>2308</v>
      </c>
      <c r="G657" s="6" t="s">
        <v>2406</v>
      </c>
      <c r="H657" s="6" t="s">
        <v>2409</v>
      </c>
      <c r="I657" s="6" t="s">
        <v>2412</v>
      </c>
      <c r="J657" s="15" t="s">
        <v>2410</v>
      </c>
      <c r="K657" s="15">
        <v>42490</v>
      </c>
      <c r="L657" s="6" t="s">
        <v>2421</v>
      </c>
      <c r="M657" s="6" t="s">
        <v>2887</v>
      </c>
      <c r="N657" s="6" t="s">
        <v>3371</v>
      </c>
      <c r="O657" s="6" t="s">
        <v>3383</v>
      </c>
      <c r="P657" s="6" t="s">
        <v>3474</v>
      </c>
      <c r="Q657" s="6">
        <v>1450.98</v>
      </c>
      <c r="R657" s="15">
        <v>5</v>
      </c>
      <c r="S657" s="20">
        <v>0.45</v>
      </c>
      <c r="T657" s="15">
        <v>126.53</v>
      </c>
    </row>
    <row r="658" spans="1:20" x14ac:dyDescent="0.3">
      <c r="A658" s="7" t="s">
        <v>676</v>
      </c>
      <c r="B658" s="13">
        <v>43820.039039351854</v>
      </c>
      <c r="C658" s="13">
        <v>43823.039039039031</v>
      </c>
      <c r="D658" s="8" t="s">
        <v>1022</v>
      </c>
      <c r="E658" s="8" t="s">
        <v>1653</v>
      </c>
      <c r="F658" s="8" t="s">
        <v>2279</v>
      </c>
      <c r="G658" s="8" t="s">
        <v>2408</v>
      </c>
      <c r="H658" s="8" t="s">
        <v>2409</v>
      </c>
      <c r="I658" s="8" t="s">
        <v>2418</v>
      </c>
      <c r="J658" s="16" t="s">
        <v>3891</v>
      </c>
      <c r="K658" s="16">
        <v>26847</v>
      </c>
      <c r="L658" s="8" t="s">
        <v>2421</v>
      </c>
      <c r="M658" s="8" t="s">
        <v>2806</v>
      </c>
      <c r="N658" s="8" t="s">
        <v>3372</v>
      </c>
      <c r="O658" s="8" t="s">
        <v>3384</v>
      </c>
      <c r="P658" s="8" t="s">
        <v>3768</v>
      </c>
      <c r="Q658" s="8">
        <v>2940.34</v>
      </c>
      <c r="R658" s="16">
        <v>3</v>
      </c>
      <c r="S658" s="21">
        <v>0.27</v>
      </c>
      <c r="T658" s="16">
        <v>1240.32</v>
      </c>
    </row>
    <row r="659" spans="1:20" x14ac:dyDescent="0.3">
      <c r="A659" s="5" t="s">
        <v>677</v>
      </c>
      <c r="B659" s="12">
        <v>43821.135138888887</v>
      </c>
      <c r="C659" s="12">
        <v>43825.135135135133</v>
      </c>
      <c r="D659" s="6" t="s">
        <v>1023</v>
      </c>
      <c r="E659" s="6" t="s">
        <v>1654</v>
      </c>
      <c r="F659" s="6" t="s">
        <v>2338</v>
      </c>
      <c r="G659" s="6" t="s">
        <v>2406</v>
      </c>
      <c r="H659" s="6" t="s">
        <v>2409</v>
      </c>
      <c r="I659" s="6" t="s">
        <v>2418</v>
      </c>
      <c r="J659" s="15" t="s">
        <v>3895</v>
      </c>
      <c r="K659" s="15">
        <v>28463</v>
      </c>
      <c r="L659" s="6" t="s">
        <v>2421</v>
      </c>
      <c r="M659" s="6" t="s">
        <v>3055</v>
      </c>
      <c r="N659" s="6" t="s">
        <v>3373</v>
      </c>
      <c r="O659" s="6" t="s">
        <v>3379</v>
      </c>
      <c r="P659" s="6" t="s">
        <v>3785</v>
      </c>
      <c r="Q659" s="6">
        <v>1004.62</v>
      </c>
      <c r="R659" s="15">
        <v>11</v>
      </c>
      <c r="S659" s="20">
        <v>0.6</v>
      </c>
      <c r="T659" s="15">
        <v>344.08</v>
      </c>
    </row>
    <row r="660" spans="1:20" x14ac:dyDescent="0.3">
      <c r="A660" s="7" t="s">
        <v>678</v>
      </c>
      <c r="B660" s="13">
        <v>43822.231226851851</v>
      </c>
      <c r="C660" s="13">
        <v>43828.231231231228</v>
      </c>
      <c r="D660" s="8" t="s">
        <v>1020</v>
      </c>
      <c r="E660" s="8" t="s">
        <v>1655</v>
      </c>
      <c r="F660" s="8" t="s">
        <v>2109</v>
      </c>
      <c r="G660" s="8" t="s">
        <v>2406</v>
      </c>
      <c r="H660" s="8" t="s">
        <v>2409</v>
      </c>
      <c r="I660" s="8" t="s">
        <v>2415</v>
      </c>
      <c r="J660" s="16" t="s">
        <v>3898</v>
      </c>
      <c r="K660" s="16">
        <v>22077</v>
      </c>
      <c r="L660" s="8" t="s">
        <v>2419</v>
      </c>
      <c r="M660" s="8" t="s">
        <v>3056</v>
      </c>
      <c r="N660" s="8" t="s">
        <v>3373</v>
      </c>
      <c r="O660" s="8" t="s">
        <v>3385</v>
      </c>
      <c r="P660" s="8" t="s">
        <v>3572</v>
      </c>
      <c r="Q660" s="8">
        <v>2085.4</v>
      </c>
      <c r="R660" s="16">
        <v>4</v>
      </c>
      <c r="S660" s="21">
        <v>7.0000000000000007E-2</v>
      </c>
      <c r="T660" s="16">
        <v>1018.9</v>
      </c>
    </row>
    <row r="661" spans="1:20" x14ac:dyDescent="0.3">
      <c r="A661" s="5" t="s">
        <v>679</v>
      </c>
      <c r="B661" s="12">
        <v>43823.327326388891</v>
      </c>
      <c r="C661" s="12">
        <v>43827.32732732733</v>
      </c>
      <c r="D661" s="6" t="s">
        <v>1022</v>
      </c>
      <c r="E661" s="6" t="s">
        <v>1656</v>
      </c>
      <c r="F661" s="6" t="s">
        <v>2108</v>
      </c>
      <c r="G661" s="6" t="s">
        <v>2407</v>
      </c>
      <c r="H661" s="6" t="s">
        <v>2409</v>
      </c>
      <c r="I661" s="6" t="s">
        <v>2414</v>
      </c>
      <c r="J661" s="15" t="s">
        <v>3893</v>
      </c>
      <c r="K661" s="15">
        <v>35903</v>
      </c>
      <c r="L661" s="6" t="s">
        <v>2420</v>
      </c>
      <c r="M661" s="6" t="s">
        <v>2514</v>
      </c>
      <c r="N661" s="6" t="s">
        <v>3372</v>
      </c>
      <c r="O661" s="6" t="s">
        <v>3384</v>
      </c>
      <c r="P661" s="6" t="s">
        <v>3422</v>
      </c>
      <c r="Q661" s="6">
        <v>2629.16</v>
      </c>
      <c r="R661" s="15">
        <v>8</v>
      </c>
      <c r="S661" s="20">
        <v>0.4</v>
      </c>
      <c r="T661" s="15">
        <v>1299.07</v>
      </c>
    </row>
    <row r="662" spans="1:20" x14ac:dyDescent="0.3">
      <c r="A662" s="7" t="s">
        <v>680</v>
      </c>
      <c r="B662" s="13">
        <v>43824.423425925925</v>
      </c>
      <c r="C662" s="13">
        <v>43830.423423423417</v>
      </c>
      <c r="D662" s="8" t="s">
        <v>1023</v>
      </c>
      <c r="E662" s="8" t="s">
        <v>1657</v>
      </c>
      <c r="F662" s="8" t="s">
        <v>2339</v>
      </c>
      <c r="G662" s="8" t="s">
        <v>2407</v>
      </c>
      <c r="H662" s="8" t="s">
        <v>2409</v>
      </c>
      <c r="I662" s="8" t="s">
        <v>2416</v>
      </c>
      <c r="J662" s="16" t="s">
        <v>3898</v>
      </c>
      <c r="K662" s="16">
        <v>58459</v>
      </c>
      <c r="L662" s="8" t="s">
        <v>2419</v>
      </c>
      <c r="M662" s="8" t="s">
        <v>3057</v>
      </c>
      <c r="N662" s="8" t="s">
        <v>3371</v>
      </c>
      <c r="O662" s="8" t="s">
        <v>3375</v>
      </c>
      <c r="P662" s="8" t="s">
        <v>3487</v>
      </c>
      <c r="Q662" s="8">
        <v>2440.1</v>
      </c>
      <c r="R662" s="16">
        <v>5</v>
      </c>
      <c r="S662" s="21">
        <v>0.19</v>
      </c>
      <c r="T662" s="16">
        <v>576.05999999999995</v>
      </c>
    </row>
    <row r="663" spans="1:20" x14ac:dyDescent="0.3">
      <c r="A663" s="5" t="s">
        <v>681</v>
      </c>
      <c r="B663" s="12">
        <v>43825.519513888888</v>
      </c>
      <c r="C663" s="12">
        <v>43826.519519519512</v>
      </c>
      <c r="D663" s="6" t="s">
        <v>1022</v>
      </c>
      <c r="E663" s="6" t="s">
        <v>1658</v>
      </c>
      <c r="F663" s="6" t="s">
        <v>2064</v>
      </c>
      <c r="G663" s="6" t="s">
        <v>2407</v>
      </c>
      <c r="H663" s="6" t="s">
        <v>2409</v>
      </c>
      <c r="I663" s="6" t="s">
        <v>2418</v>
      </c>
      <c r="J663" s="15" t="s">
        <v>3894</v>
      </c>
      <c r="K663" s="15">
        <v>55750</v>
      </c>
      <c r="L663" s="6" t="s">
        <v>2420</v>
      </c>
      <c r="M663" s="6" t="s">
        <v>3058</v>
      </c>
      <c r="N663" s="6" t="s">
        <v>3372</v>
      </c>
      <c r="O663" s="6" t="s">
        <v>3378</v>
      </c>
      <c r="P663" s="6" t="s">
        <v>3786</v>
      </c>
      <c r="Q663" s="6">
        <v>3885.63</v>
      </c>
      <c r="R663" s="15">
        <v>9</v>
      </c>
      <c r="S663" s="20">
        <v>0.16</v>
      </c>
      <c r="T663" s="15">
        <v>253.91</v>
      </c>
    </row>
    <row r="664" spans="1:20" x14ac:dyDescent="0.3">
      <c r="A664" s="7" t="s">
        <v>682</v>
      </c>
      <c r="B664" s="13">
        <v>43826.615613425929</v>
      </c>
      <c r="C664" s="13">
        <v>43830.615615615607</v>
      </c>
      <c r="D664" s="8" t="s">
        <v>1020</v>
      </c>
      <c r="E664" s="8" t="s">
        <v>1659</v>
      </c>
      <c r="F664" s="8" t="s">
        <v>2249</v>
      </c>
      <c r="G664" s="8" t="s">
        <v>2406</v>
      </c>
      <c r="H664" s="8" t="s">
        <v>2409</v>
      </c>
      <c r="I664" s="8" t="s">
        <v>2416</v>
      </c>
      <c r="J664" s="16" t="s">
        <v>3894</v>
      </c>
      <c r="K664" s="16">
        <v>60777</v>
      </c>
      <c r="L664" s="8" t="s">
        <v>2419</v>
      </c>
      <c r="M664" s="8" t="s">
        <v>3059</v>
      </c>
      <c r="N664" s="8" t="s">
        <v>3372</v>
      </c>
      <c r="O664" s="8" t="s">
        <v>3377</v>
      </c>
      <c r="P664" s="8" t="s">
        <v>3585</v>
      </c>
      <c r="Q664" s="8">
        <v>4764.3</v>
      </c>
      <c r="R664" s="16">
        <v>13</v>
      </c>
      <c r="S664" s="21">
        <v>0.61</v>
      </c>
      <c r="T664" s="16">
        <v>112.08</v>
      </c>
    </row>
    <row r="665" spans="1:20" x14ac:dyDescent="0.3">
      <c r="A665" s="5" t="s">
        <v>683</v>
      </c>
      <c r="B665" s="12">
        <v>43827.711712962962</v>
      </c>
      <c r="C665" s="12">
        <v>43829.711711711701</v>
      </c>
      <c r="D665" s="6" t="s">
        <v>1021</v>
      </c>
      <c r="E665" s="6" t="s">
        <v>1660</v>
      </c>
      <c r="F665" s="6" t="s">
        <v>2240</v>
      </c>
      <c r="G665" s="6" t="s">
        <v>2408</v>
      </c>
      <c r="H665" s="6" t="s">
        <v>2409</v>
      </c>
      <c r="I665" s="6" t="s">
        <v>2417</v>
      </c>
      <c r="J665" s="15" t="s">
        <v>3894</v>
      </c>
      <c r="K665" s="15">
        <v>57638</v>
      </c>
      <c r="L665" s="6" t="s">
        <v>2422</v>
      </c>
      <c r="M665" s="6" t="s">
        <v>3060</v>
      </c>
      <c r="N665" s="6" t="s">
        <v>3372</v>
      </c>
      <c r="O665" s="6" t="s">
        <v>3376</v>
      </c>
      <c r="P665" s="6" t="s">
        <v>3787</v>
      </c>
      <c r="Q665" s="6">
        <v>4310.29</v>
      </c>
      <c r="R665" s="15">
        <v>12</v>
      </c>
      <c r="S665" s="20">
        <v>0.48</v>
      </c>
      <c r="T665" s="15">
        <v>752.05</v>
      </c>
    </row>
    <row r="666" spans="1:20" x14ac:dyDescent="0.3">
      <c r="A666" s="7" t="s">
        <v>684</v>
      </c>
      <c r="B666" s="13">
        <v>43828.807812500003</v>
      </c>
      <c r="C666" s="13">
        <v>43834.807807807803</v>
      </c>
      <c r="D666" s="8" t="s">
        <v>1023</v>
      </c>
      <c r="E666" s="8" t="s">
        <v>1661</v>
      </c>
      <c r="F666" s="8" t="s">
        <v>2250</v>
      </c>
      <c r="G666" s="8" t="s">
        <v>2407</v>
      </c>
      <c r="H666" s="8" t="s">
        <v>2409</v>
      </c>
      <c r="I666" s="8" t="s">
        <v>2415</v>
      </c>
      <c r="J666" s="16" t="s">
        <v>3892</v>
      </c>
      <c r="K666" s="16">
        <v>33721</v>
      </c>
      <c r="L666" s="8" t="s">
        <v>2419</v>
      </c>
      <c r="M666" s="8" t="s">
        <v>3061</v>
      </c>
      <c r="N666" s="8" t="s">
        <v>3371</v>
      </c>
      <c r="O666" s="8" t="s">
        <v>3382</v>
      </c>
      <c r="P666" s="8" t="s">
        <v>3788</v>
      </c>
      <c r="Q666" s="8">
        <v>1182.96</v>
      </c>
      <c r="R666" s="16">
        <v>12</v>
      </c>
      <c r="S666" s="21">
        <v>0.19</v>
      </c>
      <c r="T666" s="16">
        <v>421.41</v>
      </c>
    </row>
    <row r="667" spans="1:20" x14ac:dyDescent="0.3">
      <c r="A667" s="5" t="s">
        <v>685</v>
      </c>
      <c r="B667" s="12">
        <v>43829.903900462959</v>
      </c>
      <c r="C667" s="12">
        <v>43831.903903903898</v>
      </c>
      <c r="D667" s="6" t="s">
        <v>1021</v>
      </c>
      <c r="E667" s="6" t="s">
        <v>1662</v>
      </c>
      <c r="F667" s="6" t="s">
        <v>1974</v>
      </c>
      <c r="G667" s="6" t="s">
        <v>2407</v>
      </c>
      <c r="H667" s="6" t="s">
        <v>2409</v>
      </c>
      <c r="I667" s="6" t="s">
        <v>2410</v>
      </c>
      <c r="J667" s="15" t="s">
        <v>3896</v>
      </c>
      <c r="K667" s="15">
        <v>59405</v>
      </c>
      <c r="L667" s="6" t="s">
        <v>2420</v>
      </c>
      <c r="M667" s="6" t="s">
        <v>3062</v>
      </c>
      <c r="N667" s="6" t="s">
        <v>3371</v>
      </c>
      <c r="O667" s="6" t="s">
        <v>3375</v>
      </c>
      <c r="P667" s="6" t="s">
        <v>3692</v>
      </c>
      <c r="Q667" s="6">
        <v>1295.3800000000001</v>
      </c>
      <c r="R667" s="15">
        <v>10</v>
      </c>
      <c r="S667" s="20">
        <v>0.48</v>
      </c>
      <c r="T667" s="15">
        <v>-56.81</v>
      </c>
    </row>
    <row r="668" spans="1:20" x14ac:dyDescent="0.3">
      <c r="A668" s="7" t="s">
        <v>686</v>
      </c>
      <c r="B668" s="13">
        <v>43831</v>
      </c>
      <c r="C668" s="13">
        <v>43835</v>
      </c>
      <c r="D668" s="8" t="s">
        <v>1023</v>
      </c>
      <c r="E668" s="8" t="s">
        <v>1252</v>
      </c>
      <c r="F668" s="8" t="s">
        <v>2340</v>
      </c>
      <c r="G668" s="8" t="s">
        <v>2406</v>
      </c>
      <c r="H668" s="8" t="s">
        <v>2409</v>
      </c>
      <c r="I668" s="8" t="s">
        <v>2414</v>
      </c>
      <c r="J668" s="16" t="s">
        <v>3893</v>
      </c>
      <c r="K668" s="16">
        <v>77441</v>
      </c>
      <c r="L668" s="8" t="s">
        <v>2422</v>
      </c>
      <c r="M668" s="8" t="s">
        <v>3063</v>
      </c>
      <c r="N668" s="8" t="s">
        <v>3371</v>
      </c>
      <c r="O668" s="8" t="s">
        <v>3382</v>
      </c>
      <c r="P668" s="8" t="s">
        <v>3789</v>
      </c>
      <c r="Q668" s="8">
        <v>4148.9399999999996</v>
      </c>
      <c r="R668" s="16">
        <v>9</v>
      </c>
      <c r="S668" s="21">
        <v>0.5</v>
      </c>
      <c r="T668" s="16">
        <v>2364.9499999999998</v>
      </c>
    </row>
    <row r="669" spans="1:20" x14ac:dyDescent="0.3">
      <c r="A669" s="5" t="s">
        <v>687</v>
      </c>
      <c r="B669" s="12">
        <v>43832.096099537041</v>
      </c>
      <c r="C669" s="12">
        <v>43833.096096096087</v>
      </c>
      <c r="D669" s="6" t="s">
        <v>1023</v>
      </c>
      <c r="E669" s="6" t="s">
        <v>1663</v>
      </c>
      <c r="F669" s="6" t="s">
        <v>2341</v>
      </c>
      <c r="G669" s="6" t="s">
        <v>2407</v>
      </c>
      <c r="H669" s="6" t="s">
        <v>2409</v>
      </c>
      <c r="I669" s="6" t="s">
        <v>2413</v>
      </c>
      <c r="J669" s="15" t="s">
        <v>3895</v>
      </c>
      <c r="K669" s="15">
        <v>41409</v>
      </c>
      <c r="L669" s="6" t="s">
        <v>2420</v>
      </c>
      <c r="M669" s="6" t="s">
        <v>3064</v>
      </c>
      <c r="N669" s="6" t="s">
        <v>3371</v>
      </c>
      <c r="O669" s="6" t="s">
        <v>3382</v>
      </c>
      <c r="P669" s="6" t="s">
        <v>3644</v>
      </c>
      <c r="Q669" s="6">
        <v>1478.52</v>
      </c>
      <c r="R669" s="15">
        <v>14</v>
      </c>
      <c r="S669" s="20">
        <v>0.02</v>
      </c>
      <c r="T669" s="15">
        <v>438.59</v>
      </c>
    </row>
    <row r="670" spans="1:20" x14ac:dyDescent="0.3">
      <c r="A670" s="7" t="s">
        <v>688</v>
      </c>
      <c r="B670" s="13">
        <v>43833.192187499997</v>
      </c>
      <c r="C670" s="13">
        <v>43838.192192192189</v>
      </c>
      <c r="D670" s="8" t="s">
        <v>1022</v>
      </c>
      <c r="E670" s="8" t="s">
        <v>1664</v>
      </c>
      <c r="F670" s="8" t="s">
        <v>2084</v>
      </c>
      <c r="G670" s="8" t="s">
        <v>2406</v>
      </c>
      <c r="H670" s="8" t="s">
        <v>2409</v>
      </c>
      <c r="I670" s="8" t="s">
        <v>2415</v>
      </c>
      <c r="J670" s="16" t="s">
        <v>3896</v>
      </c>
      <c r="K670" s="16">
        <v>13445</v>
      </c>
      <c r="L670" s="8" t="s">
        <v>2422</v>
      </c>
      <c r="M670" s="8" t="s">
        <v>3065</v>
      </c>
      <c r="N670" s="8" t="s">
        <v>3371</v>
      </c>
      <c r="O670" s="8" t="s">
        <v>3382</v>
      </c>
      <c r="P670" s="8" t="s">
        <v>3780</v>
      </c>
      <c r="Q670" s="8">
        <v>1750.36</v>
      </c>
      <c r="R670" s="16">
        <v>14</v>
      </c>
      <c r="S670" s="21">
        <v>0.65</v>
      </c>
      <c r="T670" s="16">
        <v>301.01</v>
      </c>
    </row>
    <row r="671" spans="1:20" x14ac:dyDescent="0.3">
      <c r="A671" s="5" t="s">
        <v>689</v>
      </c>
      <c r="B671" s="12">
        <v>43834.288287037038</v>
      </c>
      <c r="C671" s="12">
        <v>43840.288288288277</v>
      </c>
      <c r="D671" s="6" t="s">
        <v>1022</v>
      </c>
      <c r="E671" s="6" t="s">
        <v>1665</v>
      </c>
      <c r="F671" s="6" t="s">
        <v>1974</v>
      </c>
      <c r="G671" s="6" t="s">
        <v>2408</v>
      </c>
      <c r="H671" s="6" t="s">
        <v>2409</v>
      </c>
      <c r="I671" s="6" t="s">
        <v>2414</v>
      </c>
      <c r="J671" s="15" t="s">
        <v>3893</v>
      </c>
      <c r="K671" s="15">
        <v>18438</v>
      </c>
      <c r="L671" s="6" t="s">
        <v>2421</v>
      </c>
      <c r="M671" s="6" t="s">
        <v>3066</v>
      </c>
      <c r="N671" s="6" t="s">
        <v>3373</v>
      </c>
      <c r="O671" s="6" t="s">
        <v>3381</v>
      </c>
      <c r="P671" s="6" t="s">
        <v>3489</v>
      </c>
      <c r="Q671" s="6">
        <v>1122.5899999999999</v>
      </c>
      <c r="R671" s="15">
        <v>6</v>
      </c>
      <c r="S671" s="20">
        <v>0.88</v>
      </c>
      <c r="T671" s="15">
        <v>435.05</v>
      </c>
    </row>
    <row r="672" spans="1:20" x14ac:dyDescent="0.3">
      <c r="A672" s="7" t="s">
        <v>690</v>
      </c>
      <c r="B672" s="13">
        <v>43835.384386574071</v>
      </c>
      <c r="C672" s="13">
        <v>43837.384384384372</v>
      </c>
      <c r="D672" s="8" t="s">
        <v>1023</v>
      </c>
      <c r="E672" s="8" t="s">
        <v>1666</v>
      </c>
      <c r="F672" s="8" t="s">
        <v>2050</v>
      </c>
      <c r="G672" s="8" t="s">
        <v>2408</v>
      </c>
      <c r="H672" s="8" t="s">
        <v>2409</v>
      </c>
      <c r="I672" s="8" t="s">
        <v>2410</v>
      </c>
      <c r="J672" s="16" t="s">
        <v>2410</v>
      </c>
      <c r="K672" s="16">
        <v>47959</v>
      </c>
      <c r="L672" s="8" t="s">
        <v>2420</v>
      </c>
      <c r="M672" s="8" t="s">
        <v>3067</v>
      </c>
      <c r="N672" s="8" t="s">
        <v>3372</v>
      </c>
      <c r="O672" s="8" t="s">
        <v>3384</v>
      </c>
      <c r="P672" s="8" t="s">
        <v>3638</v>
      </c>
      <c r="Q672" s="8">
        <v>480.92</v>
      </c>
      <c r="R672" s="16">
        <v>7</v>
      </c>
      <c r="S672" s="21">
        <v>0.66</v>
      </c>
      <c r="T672" s="16">
        <v>256.23</v>
      </c>
    </row>
    <row r="673" spans="1:20" x14ac:dyDescent="0.3">
      <c r="A673" s="5" t="s">
        <v>691</v>
      </c>
      <c r="B673" s="12">
        <v>43836.480486111112</v>
      </c>
      <c r="C673" s="12">
        <v>43838.480480480473</v>
      </c>
      <c r="D673" s="6" t="s">
        <v>1021</v>
      </c>
      <c r="E673" s="6" t="s">
        <v>1667</v>
      </c>
      <c r="F673" s="6" t="s">
        <v>2163</v>
      </c>
      <c r="G673" s="6" t="s">
        <v>2407</v>
      </c>
      <c r="H673" s="6" t="s">
        <v>2409</v>
      </c>
      <c r="I673" s="6" t="s">
        <v>2411</v>
      </c>
      <c r="J673" s="15" t="s">
        <v>3892</v>
      </c>
      <c r="K673" s="15">
        <v>22343</v>
      </c>
      <c r="L673" s="6" t="s">
        <v>2419</v>
      </c>
      <c r="M673" s="6" t="s">
        <v>3068</v>
      </c>
      <c r="N673" s="6" t="s">
        <v>3373</v>
      </c>
      <c r="O673" s="6" t="s">
        <v>3385</v>
      </c>
      <c r="P673" s="6" t="s">
        <v>3756</v>
      </c>
      <c r="Q673" s="6">
        <v>4480.8100000000004</v>
      </c>
      <c r="R673" s="15">
        <v>7</v>
      </c>
      <c r="S673" s="20">
        <v>0.85</v>
      </c>
      <c r="T673" s="15">
        <v>-527.02</v>
      </c>
    </row>
    <row r="674" spans="1:20" x14ac:dyDescent="0.3">
      <c r="A674" s="7" t="s">
        <v>692</v>
      </c>
      <c r="B674" s="13">
        <v>43837.576574074075</v>
      </c>
      <c r="C674" s="13">
        <v>43839.576576576583</v>
      </c>
      <c r="D674" s="8" t="s">
        <v>1023</v>
      </c>
      <c r="E674" s="8" t="s">
        <v>1668</v>
      </c>
      <c r="F674" s="8" t="s">
        <v>2196</v>
      </c>
      <c r="G674" s="8" t="s">
        <v>2407</v>
      </c>
      <c r="H674" s="8" t="s">
        <v>2409</v>
      </c>
      <c r="I674" s="8" t="s">
        <v>2411</v>
      </c>
      <c r="J674" s="16" t="s">
        <v>3895</v>
      </c>
      <c r="K674" s="16">
        <v>20074</v>
      </c>
      <c r="L674" s="8" t="s">
        <v>2422</v>
      </c>
      <c r="M674" s="8" t="s">
        <v>3069</v>
      </c>
      <c r="N674" s="8" t="s">
        <v>3372</v>
      </c>
      <c r="O674" s="8" t="s">
        <v>3377</v>
      </c>
      <c r="P674" s="8" t="s">
        <v>3790</v>
      </c>
      <c r="Q674" s="8">
        <v>2838.67</v>
      </c>
      <c r="R674" s="16">
        <v>10</v>
      </c>
      <c r="S674" s="21">
        <v>0.42</v>
      </c>
      <c r="T674" s="16">
        <v>174.25</v>
      </c>
    </row>
    <row r="675" spans="1:20" x14ac:dyDescent="0.3">
      <c r="A675" s="5" t="s">
        <v>693</v>
      </c>
      <c r="B675" s="12">
        <v>43838.672673611109</v>
      </c>
      <c r="C675" s="12">
        <v>43840.672672672663</v>
      </c>
      <c r="D675" s="6" t="s">
        <v>1020</v>
      </c>
      <c r="E675" s="6" t="s">
        <v>1669</v>
      </c>
      <c r="F675" s="6" t="s">
        <v>2056</v>
      </c>
      <c r="G675" s="6" t="s">
        <v>2408</v>
      </c>
      <c r="H675" s="6" t="s">
        <v>2409</v>
      </c>
      <c r="I675" s="6" t="s">
        <v>2416</v>
      </c>
      <c r="J675" s="15" t="s">
        <v>3891</v>
      </c>
      <c r="K675" s="15">
        <v>71684</v>
      </c>
      <c r="L675" s="6" t="s">
        <v>2422</v>
      </c>
      <c r="M675" s="6" t="s">
        <v>3070</v>
      </c>
      <c r="N675" s="6" t="s">
        <v>3372</v>
      </c>
      <c r="O675" s="6" t="s">
        <v>3376</v>
      </c>
      <c r="P675" s="6" t="s">
        <v>3481</v>
      </c>
      <c r="Q675" s="6">
        <v>4965.6899999999996</v>
      </c>
      <c r="R675" s="15">
        <v>6</v>
      </c>
      <c r="S675" s="20">
        <v>0.75</v>
      </c>
      <c r="T675" s="15">
        <v>1170.56</v>
      </c>
    </row>
    <row r="676" spans="1:20" x14ac:dyDescent="0.3">
      <c r="A676" s="7" t="s">
        <v>694</v>
      </c>
      <c r="B676" s="13">
        <v>43839.768773148149</v>
      </c>
      <c r="C676" s="13">
        <v>43845.768768768758</v>
      </c>
      <c r="D676" s="8" t="s">
        <v>1021</v>
      </c>
      <c r="E676" s="8" t="s">
        <v>1670</v>
      </c>
      <c r="F676" s="8" t="s">
        <v>2231</v>
      </c>
      <c r="G676" s="8" t="s">
        <v>2406</v>
      </c>
      <c r="H676" s="8" t="s">
        <v>2409</v>
      </c>
      <c r="I676" s="8" t="s">
        <v>2415</v>
      </c>
      <c r="J676" s="16" t="s">
        <v>3898</v>
      </c>
      <c r="K676" s="16">
        <v>58882</v>
      </c>
      <c r="L676" s="8" t="s">
        <v>2421</v>
      </c>
      <c r="M676" s="8" t="s">
        <v>3071</v>
      </c>
      <c r="N676" s="8" t="s">
        <v>3372</v>
      </c>
      <c r="O676" s="8" t="s">
        <v>3378</v>
      </c>
      <c r="P676" s="8" t="s">
        <v>3650</v>
      </c>
      <c r="Q676" s="8">
        <v>3646.45</v>
      </c>
      <c r="R676" s="16">
        <v>7</v>
      </c>
      <c r="S676" s="21">
        <v>0.28000000000000003</v>
      </c>
      <c r="T676" s="16">
        <v>1012.18</v>
      </c>
    </row>
    <row r="677" spans="1:20" x14ac:dyDescent="0.3">
      <c r="A677" s="5" t="s">
        <v>695</v>
      </c>
      <c r="B677" s="12">
        <v>43840.864861111113</v>
      </c>
      <c r="C677" s="12">
        <v>43846.86486486486</v>
      </c>
      <c r="D677" s="6" t="s">
        <v>1023</v>
      </c>
      <c r="E677" s="6" t="s">
        <v>1671</v>
      </c>
      <c r="F677" s="6" t="s">
        <v>2342</v>
      </c>
      <c r="G677" s="6" t="s">
        <v>2407</v>
      </c>
      <c r="H677" s="6" t="s">
        <v>2409</v>
      </c>
      <c r="I677" s="6" t="s">
        <v>2417</v>
      </c>
      <c r="J677" s="15" t="s">
        <v>3895</v>
      </c>
      <c r="K677" s="15">
        <v>68195</v>
      </c>
      <c r="L677" s="6" t="s">
        <v>2421</v>
      </c>
      <c r="M677" s="6" t="s">
        <v>3072</v>
      </c>
      <c r="N677" s="6" t="s">
        <v>3373</v>
      </c>
      <c r="O677" s="6" t="s">
        <v>3385</v>
      </c>
      <c r="P677" s="6" t="s">
        <v>3575</v>
      </c>
      <c r="Q677" s="6">
        <v>3521.46</v>
      </c>
      <c r="R677" s="15">
        <v>12</v>
      </c>
      <c r="S677" s="20">
        <v>0.72</v>
      </c>
      <c r="T677" s="15">
        <v>2033.5</v>
      </c>
    </row>
    <row r="678" spans="1:20" x14ac:dyDescent="0.3">
      <c r="A678" s="7" t="s">
        <v>696</v>
      </c>
      <c r="B678" s="13">
        <v>43841.960960648146</v>
      </c>
      <c r="C678" s="13">
        <v>43847.960960960962</v>
      </c>
      <c r="D678" s="8" t="s">
        <v>1022</v>
      </c>
      <c r="E678" s="8" t="s">
        <v>1672</v>
      </c>
      <c r="F678" s="8" t="s">
        <v>2008</v>
      </c>
      <c r="G678" s="8" t="s">
        <v>2408</v>
      </c>
      <c r="H678" s="8" t="s">
        <v>2409</v>
      </c>
      <c r="I678" s="8" t="s">
        <v>2417</v>
      </c>
      <c r="J678" s="16" t="s">
        <v>3895</v>
      </c>
      <c r="K678" s="16">
        <v>99354</v>
      </c>
      <c r="L678" s="8" t="s">
        <v>2419</v>
      </c>
      <c r="M678" s="8" t="s">
        <v>3073</v>
      </c>
      <c r="N678" s="8" t="s">
        <v>3372</v>
      </c>
      <c r="O678" s="8" t="s">
        <v>3378</v>
      </c>
      <c r="P678" s="8" t="s">
        <v>3732</v>
      </c>
      <c r="Q678" s="8">
        <v>4033.81</v>
      </c>
      <c r="R678" s="16">
        <v>12</v>
      </c>
      <c r="S678" s="21">
        <v>0.12</v>
      </c>
      <c r="T678" s="16">
        <v>1102.24</v>
      </c>
    </row>
    <row r="679" spans="1:20" x14ac:dyDescent="0.3">
      <c r="A679" s="5" t="s">
        <v>697</v>
      </c>
      <c r="B679" s="12">
        <v>43843.057060185187</v>
      </c>
      <c r="C679" s="12">
        <v>43849.057057057049</v>
      </c>
      <c r="D679" s="6" t="s">
        <v>1022</v>
      </c>
      <c r="E679" s="6" t="s">
        <v>1673</v>
      </c>
      <c r="F679" s="6" t="s">
        <v>2142</v>
      </c>
      <c r="G679" s="6" t="s">
        <v>2407</v>
      </c>
      <c r="H679" s="6" t="s">
        <v>2409</v>
      </c>
      <c r="I679" s="6" t="s">
        <v>2413</v>
      </c>
      <c r="J679" s="15" t="s">
        <v>3897</v>
      </c>
      <c r="K679" s="15">
        <v>94157</v>
      </c>
      <c r="L679" s="6" t="s">
        <v>2421</v>
      </c>
      <c r="M679" s="6" t="s">
        <v>3074</v>
      </c>
      <c r="N679" s="6" t="s">
        <v>3372</v>
      </c>
      <c r="O679" s="6" t="s">
        <v>3376</v>
      </c>
      <c r="P679" s="6" t="s">
        <v>3550</v>
      </c>
      <c r="Q679" s="6">
        <v>633.28</v>
      </c>
      <c r="R679" s="15">
        <v>5</v>
      </c>
      <c r="S679" s="20">
        <v>0.76</v>
      </c>
      <c r="T679" s="15">
        <v>196.6</v>
      </c>
    </row>
    <row r="680" spans="1:20" x14ac:dyDescent="0.3">
      <c r="A680" s="7" t="s">
        <v>698</v>
      </c>
      <c r="B680" s="13">
        <v>43844.153148148151</v>
      </c>
      <c r="C680" s="13">
        <v>43846.153153153151</v>
      </c>
      <c r="D680" s="8" t="s">
        <v>1022</v>
      </c>
      <c r="E680" s="8" t="s">
        <v>1674</v>
      </c>
      <c r="F680" s="8" t="s">
        <v>2005</v>
      </c>
      <c r="G680" s="8" t="s">
        <v>2406</v>
      </c>
      <c r="H680" s="8" t="s">
        <v>2409</v>
      </c>
      <c r="I680" s="8" t="s">
        <v>2413</v>
      </c>
      <c r="J680" s="16" t="s">
        <v>3897</v>
      </c>
      <c r="K680" s="16">
        <v>43945</v>
      </c>
      <c r="L680" s="8" t="s">
        <v>2419</v>
      </c>
      <c r="M680" s="8" t="s">
        <v>3075</v>
      </c>
      <c r="N680" s="8" t="s">
        <v>3371</v>
      </c>
      <c r="O680" s="8" t="s">
        <v>3382</v>
      </c>
      <c r="P680" s="8" t="s">
        <v>3791</v>
      </c>
      <c r="Q680" s="8">
        <v>3427.68</v>
      </c>
      <c r="R680" s="16">
        <v>9</v>
      </c>
      <c r="S680" s="21">
        <v>0.17</v>
      </c>
      <c r="T680" s="16">
        <v>-497.03</v>
      </c>
    </row>
    <row r="681" spans="1:20" x14ac:dyDescent="0.3">
      <c r="A681" s="5" t="s">
        <v>699</v>
      </c>
      <c r="B681" s="12">
        <v>43845.249247685184</v>
      </c>
      <c r="C681" s="12">
        <v>43848.249249249253</v>
      </c>
      <c r="D681" s="6" t="s">
        <v>1022</v>
      </c>
      <c r="E681" s="6" t="s">
        <v>1675</v>
      </c>
      <c r="F681" s="6" t="s">
        <v>2109</v>
      </c>
      <c r="G681" s="6" t="s">
        <v>2408</v>
      </c>
      <c r="H681" s="6" t="s">
        <v>2409</v>
      </c>
      <c r="I681" s="6" t="s">
        <v>2417</v>
      </c>
      <c r="J681" s="15" t="s">
        <v>3898</v>
      </c>
      <c r="K681" s="15">
        <v>10219</v>
      </c>
      <c r="L681" s="6" t="s">
        <v>2420</v>
      </c>
      <c r="M681" s="6" t="s">
        <v>3076</v>
      </c>
      <c r="N681" s="6" t="s">
        <v>3372</v>
      </c>
      <c r="O681" s="6" t="s">
        <v>3384</v>
      </c>
      <c r="P681" s="6" t="s">
        <v>3616</v>
      </c>
      <c r="Q681" s="6">
        <v>4086.74</v>
      </c>
      <c r="R681" s="15">
        <v>12</v>
      </c>
      <c r="S681" s="20">
        <v>0.34</v>
      </c>
      <c r="T681" s="15">
        <v>2140.5100000000002</v>
      </c>
    </row>
    <row r="682" spans="1:20" x14ac:dyDescent="0.3">
      <c r="A682" s="7" t="s">
        <v>700</v>
      </c>
      <c r="B682" s="13">
        <v>43846.345347222225</v>
      </c>
      <c r="C682" s="13">
        <v>43847.345345345333</v>
      </c>
      <c r="D682" s="8" t="s">
        <v>1022</v>
      </c>
      <c r="E682" s="8" t="s">
        <v>1084</v>
      </c>
      <c r="F682" s="8" t="s">
        <v>2093</v>
      </c>
      <c r="G682" s="8" t="s">
        <v>2407</v>
      </c>
      <c r="H682" s="8" t="s">
        <v>2409</v>
      </c>
      <c r="I682" s="8" t="s">
        <v>2416</v>
      </c>
      <c r="J682" s="16" t="s">
        <v>3893</v>
      </c>
      <c r="K682" s="16">
        <v>75733</v>
      </c>
      <c r="L682" s="8" t="s">
        <v>2421</v>
      </c>
      <c r="M682" s="8" t="s">
        <v>3077</v>
      </c>
      <c r="N682" s="8" t="s">
        <v>3373</v>
      </c>
      <c r="O682" s="8" t="s">
        <v>3385</v>
      </c>
      <c r="P682" s="8" t="s">
        <v>3792</v>
      </c>
      <c r="Q682" s="8">
        <v>169.54</v>
      </c>
      <c r="R682" s="16">
        <v>10</v>
      </c>
      <c r="S682" s="21">
        <v>0.15</v>
      </c>
      <c r="T682" s="16">
        <v>-13.59</v>
      </c>
    </row>
    <row r="683" spans="1:20" x14ac:dyDescent="0.3">
      <c r="A683" s="5" t="s">
        <v>701</v>
      </c>
      <c r="B683" s="12">
        <v>43847.441446759258</v>
      </c>
      <c r="C683" s="12">
        <v>43850.441441441442</v>
      </c>
      <c r="D683" s="6" t="s">
        <v>1020</v>
      </c>
      <c r="E683" s="6" t="s">
        <v>1676</v>
      </c>
      <c r="F683" s="6" t="s">
        <v>2323</v>
      </c>
      <c r="G683" s="6" t="s">
        <v>2407</v>
      </c>
      <c r="H683" s="6" t="s">
        <v>2409</v>
      </c>
      <c r="I683" s="6" t="s">
        <v>2410</v>
      </c>
      <c r="J683" s="15" t="s">
        <v>3892</v>
      </c>
      <c r="K683" s="15">
        <v>54863</v>
      </c>
      <c r="L683" s="6" t="s">
        <v>2419</v>
      </c>
      <c r="M683" s="6" t="s">
        <v>3078</v>
      </c>
      <c r="N683" s="6" t="s">
        <v>3372</v>
      </c>
      <c r="O683" s="6" t="s">
        <v>3377</v>
      </c>
      <c r="P683" s="6" t="s">
        <v>3627</v>
      </c>
      <c r="Q683" s="6">
        <v>4242.12</v>
      </c>
      <c r="R683" s="15">
        <v>14</v>
      </c>
      <c r="S683" s="20">
        <v>0.48</v>
      </c>
      <c r="T683" s="15">
        <v>1642.09</v>
      </c>
    </row>
    <row r="684" spans="1:20" x14ac:dyDescent="0.3">
      <c r="A684" s="7" t="s">
        <v>702</v>
      </c>
      <c r="B684" s="13">
        <v>43848.537534722222</v>
      </c>
      <c r="C684" s="13">
        <v>43852.537537537537</v>
      </c>
      <c r="D684" s="8" t="s">
        <v>1022</v>
      </c>
      <c r="E684" s="8" t="s">
        <v>1677</v>
      </c>
      <c r="F684" s="8" t="s">
        <v>2343</v>
      </c>
      <c r="G684" s="8" t="s">
        <v>2408</v>
      </c>
      <c r="H684" s="8" t="s">
        <v>2409</v>
      </c>
      <c r="I684" s="8" t="s">
        <v>2411</v>
      </c>
      <c r="J684" s="16" t="s">
        <v>3897</v>
      </c>
      <c r="K684" s="16">
        <v>79925</v>
      </c>
      <c r="L684" s="8" t="s">
        <v>2420</v>
      </c>
      <c r="M684" s="8" t="s">
        <v>3079</v>
      </c>
      <c r="N684" s="8" t="s">
        <v>3371</v>
      </c>
      <c r="O684" s="8" t="s">
        <v>3375</v>
      </c>
      <c r="P684" s="8" t="s">
        <v>3749</v>
      </c>
      <c r="Q684" s="8">
        <v>4206.5</v>
      </c>
      <c r="R684" s="16">
        <v>11</v>
      </c>
      <c r="S684" s="21">
        <v>0.21</v>
      </c>
      <c r="T684" s="16">
        <v>1175.6600000000001</v>
      </c>
    </row>
    <row r="685" spans="1:20" x14ac:dyDescent="0.3">
      <c r="A685" s="5" t="s">
        <v>703</v>
      </c>
      <c r="B685" s="12">
        <v>43849.633634259262</v>
      </c>
      <c r="C685" s="12">
        <v>43852.633633633617</v>
      </c>
      <c r="D685" s="6" t="s">
        <v>1022</v>
      </c>
      <c r="E685" s="6" t="s">
        <v>1678</v>
      </c>
      <c r="F685" s="6" t="s">
        <v>2198</v>
      </c>
      <c r="G685" s="6" t="s">
        <v>2406</v>
      </c>
      <c r="H685" s="6" t="s">
        <v>2409</v>
      </c>
      <c r="I685" s="6" t="s">
        <v>2413</v>
      </c>
      <c r="J685" s="15" t="s">
        <v>3897</v>
      </c>
      <c r="K685" s="15">
        <v>61274</v>
      </c>
      <c r="L685" s="6" t="s">
        <v>2421</v>
      </c>
      <c r="M685" s="6" t="s">
        <v>3080</v>
      </c>
      <c r="N685" s="6" t="s">
        <v>3373</v>
      </c>
      <c r="O685" s="6" t="s">
        <v>3385</v>
      </c>
      <c r="P685" s="6" t="s">
        <v>3793</v>
      </c>
      <c r="Q685" s="6">
        <v>1346.85</v>
      </c>
      <c r="R685" s="15">
        <v>10</v>
      </c>
      <c r="S685" s="20">
        <v>0.62</v>
      </c>
      <c r="T685" s="15">
        <v>501.36</v>
      </c>
    </row>
    <row r="686" spans="1:20" x14ac:dyDescent="0.3">
      <c r="A686" s="7" t="s">
        <v>704</v>
      </c>
      <c r="B686" s="13">
        <v>43850.729733796295</v>
      </c>
      <c r="C686" s="13">
        <v>43852.729729729719</v>
      </c>
      <c r="D686" s="8" t="s">
        <v>1022</v>
      </c>
      <c r="E686" s="8" t="s">
        <v>1679</v>
      </c>
      <c r="F686" s="8" t="s">
        <v>2344</v>
      </c>
      <c r="G686" s="8" t="s">
        <v>2408</v>
      </c>
      <c r="H686" s="8" t="s">
        <v>2409</v>
      </c>
      <c r="I686" s="8" t="s">
        <v>2416</v>
      </c>
      <c r="J686" s="16" t="s">
        <v>3892</v>
      </c>
      <c r="K686" s="16">
        <v>53152</v>
      </c>
      <c r="L686" s="8" t="s">
        <v>2419</v>
      </c>
      <c r="M686" s="8" t="s">
        <v>3081</v>
      </c>
      <c r="N686" s="8" t="s">
        <v>3372</v>
      </c>
      <c r="O686" s="8" t="s">
        <v>3378</v>
      </c>
      <c r="P686" s="8" t="s">
        <v>3752</v>
      </c>
      <c r="Q686" s="8">
        <v>2658.82</v>
      </c>
      <c r="R686" s="16">
        <v>9</v>
      </c>
      <c r="S686" s="21">
        <v>0.28000000000000003</v>
      </c>
      <c r="T686" s="16">
        <v>-419.86</v>
      </c>
    </row>
    <row r="687" spans="1:20" x14ac:dyDescent="0.3">
      <c r="A687" s="5" t="s">
        <v>705</v>
      </c>
      <c r="B687" s="12">
        <v>43851.825821759259</v>
      </c>
      <c r="C687" s="12">
        <v>43854.825825825821</v>
      </c>
      <c r="D687" s="6" t="s">
        <v>1022</v>
      </c>
      <c r="E687" s="6" t="s">
        <v>1680</v>
      </c>
      <c r="F687" s="6" t="s">
        <v>2026</v>
      </c>
      <c r="G687" s="6" t="s">
        <v>2406</v>
      </c>
      <c r="H687" s="6" t="s">
        <v>2409</v>
      </c>
      <c r="I687" s="6" t="s">
        <v>2412</v>
      </c>
      <c r="J687" s="15" t="s">
        <v>3893</v>
      </c>
      <c r="K687" s="15">
        <v>90833</v>
      </c>
      <c r="L687" s="6" t="s">
        <v>2419</v>
      </c>
      <c r="M687" s="6" t="s">
        <v>3082</v>
      </c>
      <c r="N687" s="6" t="s">
        <v>3373</v>
      </c>
      <c r="O687" s="6" t="s">
        <v>3385</v>
      </c>
      <c r="P687" s="6" t="s">
        <v>3701</v>
      </c>
      <c r="Q687" s="6">
        <v>3487.03</v>
      </c>
      <c r="R687" s="15">
        <v>8</v>
      </c>
      <c r="S687" s="20">
        <v>0.08</v>
      </c>
      <c r="T687" s="15">
        <v>-350.41</v>
      </c>
    </row>
    <row r="688" spans="1:20" x14ac:dyDescent="0.3">
      <c r="A688" s="7" t="s">
        <v>706</v>
      </c>
      <c r="B688" s="13">
        <v>43852.9219212963</v>
      </c>
      <c r="C688" s="13">
        <v>43857.921921921923</v>
      </c>
      <c r="D688" s="8" t="s">
        <v>1021</v>
      </c>
      <c r="E688" s="8" t="s">
        <v>1681</v>
      </c>
      <c r="F688" s="8" t="s">
        <v>2124</v>
      </c>
      <c r="G688" s="8" t="s">
        <v>2406</v>
      </c>
      <c r="H688" s="8" t="s">
        <v>2409</v>
      </c>
      <c r="I688" s="8" t="s">
        <v>2412</v>
      </c>
      <c r="J688" s="16" t="s">
        <v>3897</v>
      </c>
      <c r="K688" s="16">
        <v>47451</v>
      </c>
      <c r="L688" s="8" t="s">
        <v>2422</v>
      </c>
      <c r="M688" s="8" t="s">
        <v>3083</v>
      </c>
      <c r="N688" s="8" t="s">
        <v>3372</v>
      </c>
      <c r="O688" s="8" t="s">
        <v>3376</v>
      </c>
      <c r="P688" s="8" t="s">
        <v>3408</v>
      </c>
      <c r="Q688" s="8">
        <v>805.23</v>
      </c>
      <c r="R688" s="16">
        <v>11</v>
      </c>
      <c r="S688" s="21">
        <v>0.63</v>
      </c>
      <c r="T688" s="16">
        <v>240.48</v>
      </c>
    </row>
    <row r="689" spans="1:20" x14ac:dyDescent="0.3">
      <c r="A689" s="5" t="s">
        <v>707</v>
      </c>
      <c r="B689" s="12">
        <v>43854.018020833333</v>
      </c>
      <c r="C689" s="12">
        <v>43856.01801801801</v>
      </c>
      <c r="D689" s="6" t="s">
        <v>1021</v>
      </c>
      <c r="E689" s="6" t="s">
        <v>1682</v>
      </c>
      <c r="F689" s="6" t="s">
        <v>2345</v>
      </c>
      <c r="G689" s="6" t="s">
        <v>2406</v>
      </c>
      <c r="H689" s="6" t="s">
        <v>2409</v>
      </c>
      <c r="I689" s="6" t="s">
        <v>2412</v>
      </c>
      <c r="J689" s="15" t="s">
        <v>3894</v>
      </c>
      <c r="K689" s="15">
        <v>84240</v>
      </c>
      <c r="L689" s="6" t="s">
        <v>2419</v>
      </c>
      <c r="M689" s="6" t="s">
        <v>3084</v>
      </c>
      <c r="N689" s="6" t="s">
        <v>3373</v>
      </c>
      <c r="O689" s="6" t="s">
        <v>3379</v>
      </c>
      <c r="P689" s="6" t="s">
        <v>3599</v>
      </c>
      <c r="Q689" s="6">
        <v>3321.47</v>
      </c>
      <c r="R689" s="15">
        <v>1</v>
      </c>
      <c r="S689" s="20">
        <v>0.39</v>
      </c>
      <c r="T689" s="15">
        <v>-466.08</v>
      </c>
    </row>
    <row r="690" spans="1:20" x14ac:dyDescent="0.3">
      <c r="A690" s="7" t="s">
        <v>708</v>
      </c>
      <c r="B690" s="13">
        <v>43855.114108796297</v>
      </c>
      <c r="C690" s="13">
        <v>43861.114114114112</v>
      </c>
      <c r="D690" s="8" t="s">
        <v>1021</v>
      </c>
      <c r="E690" s="8" t="s">
        <v>1683</v>
      </c>
      <c r="F690" s="8" t="s">
        <v>2308</v>
      </c>
      <c r="G690" s="8" t="s">
        <v>2406</v>
      </c>
      <c r="H690" s="8" t="s">
        <v>2409</v>
      </c>
      <c r="I690" s="8" t="s">
        <v>2414</v>
      </c>
      <c r="J690" s="16" t="s">
        <v>3891</v>
      </c>
      <c r="K690" s="16">
        <v>90662</v>
      </c>
      <c r="L690" s="8" t="s">
        <v>2422</v>
      </c>
      <c r="M690" s="8" t="s">
        <v>3085</v>
      </c>
      <c r="N690" s="8" t="s">
        <v>3372</v>
      </c>
      <c r="O690" s="8" t="s">
        <v>3378</v>
      </c>
      <c r="P690" s="8" t="s">
        <v>3752</v>
      </c>
      <c r="Q690" s="8">
        <v>2290.7800000000002</v>
      </c>
      <c r="R690" s="16">
        <v>12</v>
      </c>
      <c r="S690" s="21">
        <v>0.89</v>
      </c>
      <c r="T690" s="16">
        <v>526.41</v>
      </c>
    </row>
    <row r="691" spans="1:20" x14ac:dyDescent="0.3">
      <c r="A691" s="5" t="s">
        <v>709</v>
      </c>
      <c r="B691" s="12">
        <v>43856.21020833333</v>
      </c>
      <c r="C691" s="12">
        <v>43860.210210210207</v>
      </c>
      <c r="D691" s="6" t="s">
        <v>1023</v>
      </c>
      <c r="E691" s="6" t="s">
        <v>1416</v>
      </c>
      <c r="F691" s="6" t="s">
        <v>2214</v>
      </c>
      <c r="G691" s="6" t="s">
        <v>2406</v>
      </c>
      <c r="H691" s="6" t="s">
        <v>2409</v>
      </c>
      <c r="I691" s="6" t="s">
        <v>2412</v>
      </c>
      <c r="J691" s="15" t="s">
        <v>3894</v>
      </c>
      <c r="K691" s="15">
        <v>86163</v>
      </c>
      <c r="L691" s="6" t="s">
        <v>2421</v>
      </c>
      <c r="M691" s="6" t="s">
        <v>3086</v>
      </c>
      <c r="N691" s="6" t="s">
        <v>3371</v>
      </c>
      <c r="O691" s="6" t="s">
        <v>3383</v>
      </c>
      <c r="P691" s="6" t="s">
        <v>3636</v>
      </c>
      <c r="Q691" s="6">
        <v>2888.68</v>
      </c>
      <c r="R691" s="15">
        <v>13</v>
      </c>
      <c r="S691" s="20">
        <v>0.44</v>
      </c>
      <c r="T691" s="15">
        <v>767.19</v>
      </c>
    </row>
    <row r="692" spans="1:20" x14ac:dyDescent="0.3">
      <c r="A692" s="7" t="s">
        <v>710</v>
      </c>
      <c r="B692" s="13">
        <v>43857.306307870371</v>
      </c>
      <c r="C692" s="13">
        <v>43861.306306306287</v>
      </c>
      <c r="D692" s="8" t="s">
        <v>1020</v>
      </c>
      <c r="E692" s="8" t="s">
        <v>1684</v>
      </c>
      <c r="F692" s="8" t="s">
        <v>2184</v>
      </c>
      <c r="G692" s="8" t="s">
        <v>2406</v>
      </c>
      <c r="H692" s="8" t="s">
        <v>2409</v>
      </c>
      <c r="I692" s="8" t="s">
        <v>2418</v>
      </c>
      <c r="J692" s="16" t="s">
        <v>3891</v>
      </c>
      <c r="K692" s="16">
        <v>62614</v>
      </c>
      <c r="L692" s="8" t="s">
        <v>2420</v>
      </c>
      <c r="M692" s="8" t="s">
        <v>3087</v>
      </c>
      <c r="N692" s="8" t="s">
        <v>3372</v>
      </c>
      <c r="O692" s="8" t="s">
        <v>3378</v>
      </c>
      <c r="P692" s="8" t="s">
        <v>3638</v>
      </c>
      <c r="Q692" s="8">
        <v>574.04999999999995</v>
      </c>
      <c r="R692" s="16">
        <v>10</v>
      </c>
      <c r="S692" s="21">
        <v>0.21</v>
      </c>
      <c r="T692" s="16">
        <v>204.24</v>
      </c>
    </row>
    <row r="693" spans="1:20" x14ac:dyDescent="0.3">
      <c r="A693" s="5" t="s">
        <v>711</v>
      </c>
      <c r="B693" s="12">
        <v>43858.402407407404</v>
      </c>
      <c r="C693" s="12">
        <v>43864.402402402397</v>
      </c>
      <c r="D693" s="6" t="s">
        <v>1022</v>
      </c>
      <c r="E693" s="6" t="s">
        <v>1526</v>
      </c>
      <c r="F693" s="6" t="s">
        <v>2006</v>
      </c>
      <c r="G693" s="6" t="s">
        <v>2406</v>
      </c>
      <c r="H693" s="6" t="s">
        <v>2409</v>
      </c>
      <c r="I693" s="6" t="s">
        <v>2410</v>
      </c>
      <c r="J693" s="15" t="s">
        <v>3894</v>
      </c>
      <c r="K693" s="15">
        <v>33315</v>
      </c>
      <c r="L693" s="6" t="s">
        <v>2419</v>
      </c>
      <c r="M693" s="6" t="s">
        <v>3088</v>
      </c>
      <c r="N693" s="6" t="s">
        <v>3373</v>
      </c>
      <c r="O693" s="6" t="s">
        <v>3379</v>
      </c>
      <c r="P693" s="6" t="s">
        <v>3692</v>
      </c>
      <c r="Q693" s="6">
        <v>3153.47</v>
      </c>
      <c r="R693" s="15">
        <v>7</v>
      </c>
      <c r="S693" s="20">
        <v>0.72</v>
      </c>
      <c r="T693" s="15">
        <v>1809.2</v>
      </c>
    </row>
    <row r="694" spans="1:20" x14ac:dyDescent="0.3">
      <c r="A694" s="7" t="s">
        <v>712</v>
      </c>
      <c r="B694" s="13">
        <v>43859.498495370368</v>
      </c>
      <c r="C694" s="13">
        <v>43864.498498498499</v>
      </c>
      <c r="D694" s="8" t="s">
        <v>1020</v>
      </c>
      <c r="E694" s="8" t="s">
        <v>1685</v>
      </c>
      <c r="F694" s="8" t="s">
        <v>2346</v>
      </c>
      <c r="G694" s="8" t="s">
        <v>2408</v>
      </c>
      <c r="H694" s="8" t="s">
        <v>2409</v>
      </c>
      <c r="I694" s="8" t="s">
        <v>2410</v>
      </c>
      <c r="J694" s="16" t="s">
        <v>3895</v>
      </c>
      <c r="K694" s="16">
        <v>17052</v>
      </c>
      <c r="L694" s="8" t="s">
        <v>2420</v>
      </c>
      <c r="M694" s="8" t="s">
        <v>3089</v>
      </c>
      <c r="N694" s="8" t="s">
        <v>3372</v>
      </c>
      <c r="O694" s="8" t="s">
        <v>3384</v>
      </c>
      <c r="P694" s="8" t="s">
        <v>3564</v>
      </c>
      <c r="Q694" s="8">
        <v>4536.24</v>
      </c>
      <c r="R694" s="16">
        <v>3</v>
      </c>
      <c r="S694" s="21">
        <v>0.22</v>
      </c>
      <c r="T694" s="16">
        <v>1404.53</v>
      </c>
    </row>
    <row r="695" spans="1:20" x14ac:dyDescent="0.3">
      <c r="A695" s="5" t="s">
        <v>713</v>
      </c>
      <c r="B695" s="12">
        <v>43860.594594907408</v>
      </c>
      <c r="C695" s="12">
        <v>43864.594594594593</v>
      </c>
      <c r="D695" s="6" t="s">
        <v>1020</v>
      </c>
      <c r="E695" s="6" t="s">
        <v>1686</v>
      </c>
      <c r="F695" s="6" t="s">
        <v>2261</v>
      </c>
      <c r="G695" s="6" t="s">
        <v>2406</v>
      </c>
      <c r="H695" s="6" t="s">
        <v>2409</v>
      </c>
      <c r="I695" s="6" t="s">
        <v>2413</v>
      </c>
      <c r="J695" s="15" t="s">
        <v>3896</v>
      </c>
      <c r="K695" s="15">
        <v>16895</v>
      </c>
      <c r="L695" s="6" t="s">
        <v>2422</v>
      </c>
      <c r="M695" s="6" t="s">
        <v>3090</v>
      </c>
      <c r="N695" s="6" t="s">
        <v>3373</v>
      </c>
      <c r="O695" s="6" t="s">
        <v>3379</v>
      </c>
      <c r="P695" s="6" t="s">
        <v>3746</v>
      </c>
      <c r="Q695" s="6">
        <v>2981.71</v>
      </c>
      <c r="R695" s="15">
        <v>2</v>
      </c>
      <c r="S695" s="20">
        <v>0.18</v>
      </c>
      <c r="T695" s="15">
        <v>950.08</v>
      </c>
    </row>
    <row r="696" spans="1:20" x14ac:dyDescent="0.3">
      <c r="A696" s="7" t="s">
        <v>714</v>
      </c>
      <c r="B696" s="13">
        <v>43861.690694444442</v>
      </c>
      <c r="C696" s="13">
        <v>43866.690690690681</v>
      </c>
      <c r="D696" s="8" t="s">
        <v>1023</v>
      </c>
      <c r="E696" s="8" t="s">
        <v>1687</v>
      </c>
      <c r="F696" s="8" t="s">
        <v>2319</v>
      </c>
      <c r="G696" s="8" t="s">
        <v>2407</v>
      </c>
      <c r="H696" s="8" t="s">
        <v>2409</v>
      </c>
      <c r="I696" s="8" t="s">
        <v>2412</v>
      </c>
      <c r="J696" s="16" t="s">
        <v>2410</v>
      </c>
      <c r="K696" s="16">
        <v>33010</v>
      </c>
      <c r="L696" s="8" t="s">
        <v>2422</v>
      </c>
      <c r="M696" s="8" t="s">
        <v>3091</v>
      </c>
      <c r="N696" s="8" t="s">
        <v>3371</v>
      </c>
      <c r="O696" s="8" t="s">
        <v>3374</v>
      </c>
      <c r="P696" s="8" t="s">
        <v>3584</v>
      </c>
      <c r="Q696" s="8">
        <v>4339.42</v>
      </c>
      <c r="R696" s="16">
        <v>3</v>
      </c>
      <c r="S696" s="21">
        <v>0.19</v>
      </c>
      <c r="T696" s="16">
        <v>2322.29</v>
      </c>
    </row>
    <row r="697" spans="1:20" x14ac:dyDescent="0.3">
      <c r="A697" s="5" t="s">
        <v>715</v>
      </c>
      <c r="B697" s="12">
        <v>43862.786782407406</v>
      </c>
      <c r="C697" s="12">
        <v>43863.786786786783</v>
      </c>
      <c r="D697" s="6" t="s">
        <v>1023</v>
      </c>
      <c r="E697" s="6" t="s">
        <v>1688</v>
      </c>
      <c r="F697" s="6" t="s">
        <v>2347</v>
      </c>
      <c r="G697" s="6" t="s">
        <v>2406</v>
      </c>
      <c r="H697" s="6" t="s">
        <v>2409</v>
      </c>
      <c r="I697" s="6" t="s">
        <v>2414</v>
      </c>
      <c r="J697" s="15" t="s">
        <v>3894</v>
      </c>
      <c r="K697" s="15">
        <v>75730</v>
      </c>
      <c r="L697" s="6" t="s">
        <v>2419</v>
      </c>
      <c r="M697" s="6" t="s">
        <v>3092</v>
      </c>
      <c r="N697" s="6" t="s">
        <v>3373</v>
      </c>
      <c r="O697" s="6" t="s">
        <v>3381</v>
      </c>
      <c r="P697" s="6" t="s">
        <v>3637</v>
      </c>
      <c r="Q697" s="6">
        <v>2883.68</v>
      </c>
      <c r="R697" s="15">
        <v>6</v>
      </c>
      <c r="S697" s="20">
        <v>0.55000000000000004</v>
      </c>
      <c r="T697" s="15">
        <v>642.9</v>
      </c>
    </row>
    <row r="698" spans="1:20" x14ac:dyDescent="0.3">
      <c r="A698" s="7" t="s">
        <v>716</v>
      </c>
      <c r="B698" s="13">
        <v>43863.882881944446</v>
      </c>
      <c r="C698" s="13">
        <v>43866.882882882877</v>
      </c>
      <c r="D698" s="8" t="s">
        <v>1023</v>
      </c>
      <c r="E698" s="8" t="s">
        <v>1689</v>
      </c>
      <c r="F698" s="8" t="s">
        <v>2348</v>
      </c>
      <c r="G698" s="8" t="s">
        <v>2407</v>
      </c>
      <c r="H698" s="8" t="s">
        <v>2409</v>
      </c>
      <c r="I698" s="8" t="s">
        <v>2415</v>
      </c>
      <c r="J698" s="16" t="s">
        <v>3891</v>
      </c>
      <c r="K698" s="16">
        <v>60075</v>
      </c>
      <c r="L698" s="8" t="s">
        <v>2421</v>
      </c>
      <c r="M698" s="8" t="s">
        <v>3093</v>
      </c>
      <c r="N698" s="8" t="s">
        <v>3373</v>
      </c>
      <c r="O698" s="8" t="s">
        <v>3385</v>
      </c>
      <c r="P698" s="8" t="s">
        <v>3447</v>
      </c>
      <c r="Q698" s="8">
        <v>2534.4899999999998</v>
      </c>
      <c r="R698" s="16">
        <v>9</v>
      </c>
      <c r="S698" s="21">
        <v>0.3</v>
      </c>
      <c r="T698" s="16">
        <v>1465.36</v>
      </c>
    </row>
    <row r="699" spans="1:20" x14ac:dyDescent="0.3">
      <c r="A699" s="5" t="s">
        <v>717</v>
      </c>
      <c r="B699" s="12">
        <v>43864.978981481479</v>
      </c>
      <c r="C699" s="12">
        <v>43868.978978978972</v>
      </c>
      <c r="D699" s="6" t="s">
        <v>1021</v>
      </c>
      <c r="E699" s="6" t="s">
        <v>1690</v>
      </c>
      <c r="F699" s="6" t="s">
        <v>2349</v>
      </c>
      <c r="G699" s="6" t="s">
        <v>2408</v>
      </c>
      <c r="H699" s="6" t="s">
        <v>2409</v>
      </c>
      <c r="I699" s="6" t="s">
        <v>2412</v>
      </c>
      <c r="J699" s="15" t="s">
        <v>3893</v>
      </c>
      <c r="K699" s="15">
        <v>94109</v>
      </c>
      <c r="L699" s="6" t="s">
        <v>2421</v>
      </c>
      <c r="M699" s="6" t="s">
        <v>3094</v>
      </c>
      <c r="N699" s="6" t="s">
        <v>3373</v>
      </c>
      <c r="O699" s="6" t="s">
        <v>3381</v>
      </c>
      <c r="P699" s="6" t="s">
        <v>3655</v>
      </c>
      <c r="Q699" s="6">
        <v>4769.2</v>
      </c>
      <c r="R699" s="15">
        <v>4</v>
      </c>
      <c r="S699" s="20">
        <v>0.25</v>
      </c>
      <c r="T699" s="15">
        <v>2592.37</v>
      </c>
    </row>
    <row r="700" spans="1:20" x14ac:dyDescent="0.3">
      <c r="A700" s="7" t="s">
        <v>718</v>
      </c>
      <c r="B700" s="13">
        <v>43866.075069444443</v>
      </c>
      <c r="C700" s="13">
        <v>43870.075075075067</v>
      </c>
      <c r="D700" s="8" t="s">
        <v>1023</v>
      </c>
      <c r="E700" s="8" t="s">
        <v>1691</v>
      </c>
      <c r="F700" s="8" t="s">
        <v>2297</v>
      </c>
      <c r="G700" s="8" t="s">
        <v>2406</v>
      </c>
      <c r="H700" s="8" t="s">
        <v>2409</v>
      </c>
      <c r="I700" s="8" t="s">
        <v>2414</v>
      </c>
      <c r="J700" s="16" t="s">
        <v>2410</v>
      </c>
      <c r="K700" s="16">
        <v>98581</v>
      </c>
      <c r="L700" s="8" t="s">
        <v>2419</v>
      </c>
      <c r="M700" s="8" t="s">
        <v>3095</v>
      </c>
      <c r="N700" s="8" t="s">
        <v>3371</v>
      </c>
      <c r="O700" s="8" t="s">
        <v>3375</v>
      </c>
      <c r="P700" s="8" t="s">
        <v>3610</v>
      </c>
      <c r="Q700" s="8">
        <v>4716.2</v>
      </c>
      <c r="R700" s="16">
        <v>12</v>
      </c>
      <c r="S700" s="21">
        <v>0.37</v>
      </c>
      <c r="T700" s="16">
        <v>2536.87</v>
      </c>
    </row>
    <row r="701" spans="1:20" x14ac:dyDescent="0.3">
      <c r="A701" s="5" t="s">
        <v>719</v>
      </c>
      <c r="B701" s="12">
        <v>43867.171168981484</v>
      </c>
      <c r="C701" s="12">
        <v>43870.171171171169</v>
      </c>
      <c r="D701" s="6" t="s">
        <v>1022</v>
      </c>
      <c r="E701" s="6" t="s">
        <v>1692</v>
      </c>
      <c r="F701" s="6" t="s">
        <v>2043</v>
      </c>
      <c r="G701" s="6" t="s">
        <v>2407</v>
      </c>
      <c r="H701" s="6" t="s">
        <v>2409</v>
      </c>
      <c r="I701" s="6" t="s">
        <v>2411</v>
      </c>
      <c r="J701" s="15" t="s">
        <v>2410</v>
      </c>
      <c r="K701" s="15">
        <v>35598</v>
      </c>
      <c r="L701" s="6" t="s">
        <v>2419</v>
      </c>
      <c r="M701" s="6" t="s">
        <v>3096</v>
      </c>
      <c r="N701" s="6" t="s">
        <v>3373</v>
      </c>
      <c r="O701" s="6" t="s">
        <v>3380</v>
      </c>
      <c r="P701" s="6" t="s">
        <v>3736</v>
      </c>
      <c r="Q701" s="6">
        <v>638.29</v>
      </c>
      <c r="R701" s="15">
        <v>3</v>
      </c>
      <c r="S701" s="20">
        <v>0.33</v>
      </c>
      <c r="T701" s="15">
        <v>-26.26</v>
      </c>
    </row>
    <row r="702" spans="1:20" x14ac:dyDescent="0.3">
      <c r="A702" s="7" t="s">
        <v>720</v>
      </c>
      <c r="B702" s="13">
        <v>43868.267268518517</v>
      </c>
      <c r="C702" s="13">
        <v>43872.267267267263</v>
      </c>
      <c r="D702" s="8" t="s">
        <v>1023</v>
      </c>
      <c r="E702" s="8" t="s">
        <v>1693</v>
      </c>
      <c r="F702" s="8" t="s">
        <v>2350</v>
      </c>
      <c r="G702" s="8" t="s">
        <v>2406</v>
      </c>
      <c r="H702" s="8" t="s">
        <v>2409</v>
      </c>
      <c r="I702" s="8" t="s">
        <v>2413</v>
      </c>
      <c r="J702" s="16" t="s">
        <v>3897</v>
      </c>
      <c r="K702" s="16">
        <v>77808</v>
      </c>
      <c r="L702" s="8" t="s">
        <v>2422</v>
      </c>
      <c r="M702" s="8" t="s">
        <v>3097</v>
      </c>
      <c r="N702" s="8" t="s">
        <v>3371</v>
      </c>
      <c r="O702" s="8" t="s">
        <v>3374</v>
      </c>
      <c r="P702" s="8" t="s">
        <v>3794</v>
      </c>
      <c r="Q702" s="8">
        <v>2665.63</v>
      </c>
      <c r="R702" s="16">
        <v>12</v>
      </c>
      <c r="S702" s="21">
        <v>0.65</v>
      </c>
      <c r="T702" s="16">
        <v>1543.46</v>
      </c>
    </row>
    <row r="703" spans="1:20" x14ac:dyDescent="0.3">
      <c r="A703" s="5" t="s">
        <v>721</v>
      </c>
      <c r="B703" s="12">
        <v>43869.363368055558</v>
      </c>
      <c r="C703" s="12">
        <v>43872.363363363358</v>
      </c>
      <c r="D703" s="6" t="s">
        <v>1023</v>
      </c>
      <c r="E703" s="6" t="s">
        <v>1694</v>
      </c>
      <c r="F703" s="6" t="s">
        <v>2351</v>
      </c>
      <c r="G703" s="6" t="s">
        <v>2408</v>
      </c>
      <c r="H703" s="6" t="s">
        <v>2409</v>
      </c>
      <c r="I703" s="6" t="s">
        <v>2414</v>
      </c>
      <c r="J703" s="15" t="s">
        <v>3897</v>
      </c>
      <c r="K703" s="15">
        <v>75421</v>
      </c>
      <c r="L703" s="6" t="s">
        <v>2420</v>
      </c>
      <c r="M703" s="6" t="s">
        <v>3098</v>
      </c>
      <c r="N703" s="6" t="s">
        <v>3372</v>
      </c>
      <c r="O703" s="6" t="s">
        <v>3378</v>
      </c>
      <c r="P703" s="6" t="s">
        <v>3795</v>
      </c>
      <c r="Q703" s="6">
        <v>4855.12</v>
      </c>
      <c r="R703" s="15">
        <v>8</v>
      </c>
      <c r="S703" s="20">
        <v>0.78</v>
      </c>
      <c r="T703" s="15">
        <v>-894.26</v>
      </c>
    </row>
    <row r="704" spans="1:20" x14ac:dyDescent="0.3">
      <c r="A704" s="7" t="s">
        <v>722</v>
      </c>
      <c r="B704" s="13">
        <v>43870.459456018521</v>
      </c>
      <c r="C704" s="13">
        <v>43872.459459459453</v>
      </c>
      <c r="D704" s="8" t="s">
        <v>1022</v>
      </c>
      <c r="E704" s="8" t="s">
        <v>1695</v>
      </c>
      <c r="F704" s="8" t="s">
        <v>2352</v>
      </c>
      <c r="G704" s="8" t="s">
        <v>2408</v>
      </c>
      <c r="H704" s="8" t="s">
        <v>2409</v>
      </c>
      <c r="I704" s="8" t="s">
        <v>2414</v>
      </c>
      <c r="J704" s="16" t="s">
        <v>3894</v>
      </c>
      <c r="K704" s="16">
        <v>13087</v>
      </c>
      <c r="L704" s="8" t="s">
        <v>2420</v>
      </c>
      <c r="M704" s="8" t="s">
        <v>3099</v>
      </c>
      <c r="N704" s="8" t="s">
        <v>3373</v>
      </c>
      <c r="O704" s="8" t="s">
        <v>3379</v>
      </c>
      <c r="P704" s="8" t="s">
        <v>3796</v>
      </c>
      <c r="Q704" s="8">
        <v>594.72</v>
      </c>
      <c r="R704" s="16">
        <v>14</v>
      </c>
      <c r="S704" s="21">
        <v>0.28999999999999998</v>
      </c>
      <c r="T704" s="16">
        <v>-97.85</v>
      </c>
    </row>
    <row r="705" spans="1:20" x14ac:dyDescent="0.3">
      <c r="A705" s="5" t="s">
        <v>723</v>
      </c>
      <c r="B705" s="12">
        <v>43871.555555555555</v>
      </c>
      <c r="C705" s="12">
        <v>43877.555555555547</v>
      </c>
      <c r="D705" s="6" t="s">
        <v>1020</v>
      </c>
      <c r="E705" s="6" t="s">
        <v>1696</v>
      </c>
      <c r="F705" s="6" t="s">
        <v>2015</v>
      </c>
      <c r="G705" s="6" t="s">
        <v>2407</v>
      </c>
      <c r="H705" s="6" t="s">
        <v>2409</v>
      </c>
      <c r="I705" s="6" t="s">
        <v>2411</v>
      </c>
      <c r="J705" s="15" t="s">
        <v>3897</v>
      </c>
      <c r="K705" s="15">
        <v>29357</v>
      </c>
      <c r="L705" s="6" t="s">
        <v>2419</v>
      </c>
      <c r="M705" s="6" t="s">
        <v>3100</v>
      </c>
      <c r="N705" s="6" t="s">
        <v>3371</v>
      </c>
      <c r="O705" s="6" t="s">
        <v>3383</v>
      </c>
      <c r="P705" s="6" t="s">
        <v>3511</v>
      </c>
      <c r="Q705" s="6">
        <v>4416.33</v>
      </c>
      <c r="R705" s="15">
        <v>7</v>
      </c>
      <c r="S705" s="20">
        <v>0.05</v>
      </c>
      <c r="T705" s="15">
        <v>95.01</v>
      </c>
    </row>
    <row r="706" spans="1:20" x14ac:dyDescent="0.3">
      <c r="A706" s="7" t="s">
        <v>724</v>
      </c>
      <c r="B706" s="13">
        <v>43872.651655092595</v>
      </c>
      <c r="C706" s="13">
        <v>43877.651651651642</v>
      </c>
      <c r="D706" s="8" t="s">
        <v>1023</v>
      </c>
      <c r="E706" s="8" t="s">
        <v>1697</v>
      </c>
      <c r="F706" s="8" t="s">
        <v>2051</v>
      </c>
      <c r="G706" s="8" t="s">
        <v>2407</v>
      </c>
      <c r="H706" s="8" t="s">
        <v>2409</v>
      </c>
      <c r="I706" s="8" t="s">
        <v>2412</v>
      </c>
      <c r="J706" s="16" t="s">
        <v>3892</v>
      </c>
      <c r="K706" s="16">
        <v>55689</v>
      </c>
      <c r="L706" s="8" t="s">
        <v>2421</v>
      </c>
      <c r="M706" s="8" t="s">
        <v>3101</v>
      </c>
      <c r="N706" s="8" t="s">
        <v>3372</v>
      </c>
      <c r="O706" s="8" t="s">
        <v>3376</v>
      </c>
      <c r="P706" s="8" t="s">
        <v>3797</v>
      </c>
      <c r="Q706" s="8">
        <v>3612.84</v>
      </c>
      <c r="R706" s="16">
        <v>11</v>
      </c>
      <c r="S706" s="21">
        <v>0.23</v>
      </c>
      <c r="T706" s="16">
        <v>135.33000000000001</v>
      </c>
    </row>
    <row r="707" spans="1:20" x14ac:dyDescent="0.3">
      <c r="A707" s="5" t="s">
        <v>725</v>
      </c>
      <c r="B707" s="12">
        <v>43873.747743055559</v>
      </c>
      <c r="C707" s="12">
        <v>43874.747747747737</v>
      </c>
      <c r="D707" s="6" t="s">
        <v>1020</v>
      </c>
      <c r="E707" s="6" t="s">
        <v>1698</v>
      </c>
      <c r="F707" s="6" t="s">
        <v>2287</v>
      </c>
      <c r="G707" s="6" t="s">
        <v>2407</v>
      </c>
      <c r="H707" s="6" t="s">
        <v>2409</v>
      </c>
      <c r="I707" s="6" t="s">
        <v>2416</v>
      </c>
      <c r="J707" s="15" t="s">
        <v>3897</v>
      </c>
      <c r="K707" s="15">
        <v>46160</v>
      </c>
      <c r="L707" s="6" t="s">
        <v>2421</v>
      </c>
      <c r="M707" s="6" t="s">
        <v>3102</v>
      </c>
      <c r="N707" s="6" t="s">
        <v>3371</v>
      </c>
      <c r="O707" s="6" t="s">
        <v>3375</v>
      </c>
      <c r="P707" s="6" t="s">
        <v>3682</v>
      </c>
      <c r="Q707" s="6">
        <v>4932.55</v>
      </c>
      <c r="R707" s="15">
        <v>2</v>
      </c>
      <c r="S707" s="20">
        <v>0.79</v>
      </c>
      <c r="T707" s="15">
        <v>558.92999999999995</v>
      </c>
    </row>
    <row r="708" spans="1:20" x14ac:dyDescent="0.3">
      <c r="A708" s="7" t="s">
        <v>726</v>
      </c>
      <c r="B708" s="13">
        <v>43874.843842592592</v>
      </c>
      <c r="C708" s="13">
        <v>43880.843843843853</v>
      </c>
      <c r="D708" s="8" t="s">
        <v>1023</v>
      </c>
      <c r="E708" s="8" t="s">
        <v>1699</v>
      </c>
      <c r="F708" s="8" t="s">
        <v>2353</v>
      </c>
      <c r="G708" s="8" t="s">
        <v>2407</v>
      </c>
      <c r="H708" s="8" t="s">
        <v>2409</v>
      </c>
      <c r="I708" s="8" t="s">
        <v>2418</v>
      </c>
      <c r="J708" s="16" t="s">
        <v>3893</v>
      </c>
      <c r="K708" s="16">
        <v>26057</v>
      </c>
      <c r="L708" s="8" t="s">
        <v>2422</v>
      </c>
      <c r="M708" s="8" t="s">
        <v>3103</v>
      </c>
      <c r="N708" s="8" t="s">
        <v>3373</v>
      </c>
      <c r="O708" s="8" t="s">
        <v>3380</v>
      </c>
      <c r="P708" s="8" t="s">
        <v>3711</v>
      </c>
      <c r="Q708" s="8">
        <v>4128.76</v>
      </c>
      <c r="R708" s="16">
        <v>1</v>
      </c>
      <c r="S708" s="21">
        <v>0.52</v>
      </c>
      <c r="T708" s="16">
        <v>-699.84</v>
      </c>
    </row>
    <row r="709" spans="1:20" x14ac:dyDescent="0.3">
      <c r="A709" s="5" t="s">
        <v>727</v>
      </c>
      <c r="B709" s="12">
        <v>43875.939942129633</v>
      </c>
      <c r="C709" s="12">
        <v>43879.939939939934</v>
      </c>
      <c r="D709" s="6" t="s">
        <v>1022</v>
      </c>
      <c r="E709" s="6" t="s">
        <v>1700</v>
      </c>
      <c r="F709" s="6" t="s">
        <v>2238</v>
      </c>
      <c r="G709" s="6" t="s">
        <v>2408</v>
      </c>
      <c r="H709" s="6" t="s">
        <v>2409</v>
      </c>
      <c r="I709" s="6" t="s">
        <v>2414</v>
      </c>
      <c r="J709" s="15" t="s">
        <v>3897</v>
      </c>
      <c r="K709" s="15">
        <v>10169</v>
      </c>
      <c r="L709" s="6" t="s">
        <v>2420</v>
      </c>
      <c r="M709" s="6" t="s">
        <v>3104</v>
      </c>
      <c r="N709" s="6" t="s">
        <v>3371</v>
      </c>
      <c r="O709" s="6" t="s">
        <v>3375</v>
      </c>
      <c r="P709" s="6" t="s">
        <v>3708</v>
      </c>
      <c r="Q709" s="6">
        <v>128.33000000000001</v>
      </c>
      <c r="R709" s="15">
        <v>4</v>
      </c>
      <c r="S709" s="20">
        <v>0.56999999999999995</v>
      </c>
      <c r="T709" s="15">
        <v>-16.2</v>
      </c>
    </row>
    <row r="710" spans="1:20" x14ac:dyDescent="0.3">
      <c r="A710" s="7" t="s">
        <v>728</v>
      </c>
      <c r="B710" s="13">
        <v>43877.036041666666</v>
      </c>
      <c r="C710" s="13">
        <v>43882.036036036028</v>
      </c>
      <c r="D710" s="8" t="s">
        <v>1020</v>
      </c>
      <c r="E710" s="8" t="s">
        <v>1701</v>
      </c>
      <c r="F710" s="8" t="s">
        <v>2221</v>
      </c>
      <c r="G710" s="8" t="s">
        <v>2408</v>
      </c>
      <c r="H710" s="8" t="s">
        <v>2409</v>
      </c>
      <c r="I710" s="8" t="s">
        <v>2411</v>
      </c>
      <c r="J710" s="16" t="s">
        <v>3895</v>
      </c>
      <c r="K710" s="16">
        <v>38772</v>
      </c>
      <c r="L710" s="8" t="s">
        <v>2419</v>
      </c>
      <c r="M710" s="8" t="s">
        <v>3105</v>
      </c>
      <c r="N710" s="8" t="s">
        <v>3371</v>
      </c>
      <c r="O710" s="8" t="s">
        <v>3382</v>
      </c>
      <c r="P710" s="8" t="s">
        <v>3731</v>
      </c>
      <c r="Q710" s="8">
        <v>1235.67</v>
      </c>
      <c r="R710" s="16">
        <v>3</v>
      </c>
      <c r="S710" s="21">
        <v>0.12</v>
      </c>
      <c r="T710" s="16">
        <v>45.54</v>
      </c>
    </row>
    <row r="711" spans="1:20" x14ac:dyDescent="0.3">
      <c r="A711" s="5" t="s">
        <v>729</v>
      </c>
      <c r="B711" s="12">
        <v>43878.13212962963</v>
      </c>
      <c r="C711" s="12">
        <v>43881.13213213213</v>
      </c>
      <c r="D711" s="6" t="s">
        <v>1020</v>
      </c>
      <c r="E711" s="6" t="s">
        <v>1702</v>
      </c>
      <c r="F711" s="6" t="s">
        <v>2002</v>
      </c>
      <c r="G711" s="6" t="s">
        <v>2407</v>
      </c>
      <c r="H711" s="6" t="s">
        <v>2409</v>
      </c>
      <c r="I711" s="6" t="s">
        <v>2417</v>
      </c>
      <c r="J711" s="15" t="s">
        <v>3898</v>
      </c>
      <c r="K711" s="15">
        <v>81824</v>
      </c>
      <c r="L711" s="6" t="s">
        <v>2421</v>
      </c>
      <c r="M711" s="6" t="s">
        <v>3106</v>
      </c>
      <c r="N711" s="6" t="s">
        <v>3373</v>
      </c>
      <c r="O711" s="6" t="s">
        <v>3380</v>
      </c>
      <c r="P711" s="6" t="s">
        <v>3739</v>
      </c>
      <c r="Q711" s="6">
        <v>4433.03</v>
      </c>
      <c r="R711" s="15">
        <v>8</v>
      </c>
      <c r="S711" s="20">
        <v>0.64</v>
      </c>
      <c r="T711" s="15">
        <v>280.39</v>
      </c>
    </row>
    <row r="712" spans="1:20" x14ac:dyDescent="0.3">
      <c r="A712" s="7" t="s">
        <v>730</v>
      </c>
      <c r="B712" s="13">
        <v>43879.228229166663</v>
      </c>
      <c r="C712" s="13">
        <v>43882.228228228218</v>
      </c>
      <c r="D712" s="8" t="s">
        <v>1021</v>
      </c>
      <c r="E712" s="8" t="s">
        <v>1703</v>
      </c>
      <c r="F712" s="8" t="s">
        <v>2287</v>
      </c>
      <c r="G712" s="8" t="s">
        <v>2407</v>
      </c>
      <c r="H712" s="8" t="s">
        <v>2409</v>
      </c>
      <c r="I712" s="8" t="s">
        <v>2410</v>
      </c>
      <c r="J712" s="16" t="s">
        <v>3893</v>
      </c>
      <c r="K712" s="16">
        <v>40455</v>
      </c>
      <c r="L712" s="8" t="s">
        <v>2422</v>
      </c>
      <c r="M712" s="8" t="s">
        <v>3107</v>
      </c>
      <c r="N712" s="8" t="s">
        <v>3372</v>
      </c>
      <c r="O712" s="8" t="s">
        <v>3384</v>
      </c>
      <c r="P712" s="8" t="s">
        <v>3558</v>
      </c>
      <c r="Q712" s="8">
        <v>2837.68</v>
      </c>
      <c r="R712" s="16">
        <v>8</v>
      </c>
      <c r="S712" s="21">
        <v>0.35</v>
      </c>
      <c r="T712" s="16">
        <v>-340.73</v>
      </c>
    </row>
    <row r="713" spans="1:20" x14ac:dyDescent="0.3">
      <c r="A713" s="5" t="s">
        <v>731</v>
      </c>
      <c r="B713" s="12">
        <v>43880.324328703704</v>
      </c>
      <c r="C713" s="12">
        <v>43883.32432432432</v>
      </c>
      <c r="D713" s="6" t="s">
        <v>1022</v>
      </c>
      <c r="E713" s="6" t="s">
        <v>1704</v>
      </c>
      <c r="F713" s="6" t="s">
        <v>2354</v>
      </c>
      <c r="G713" s="6" t="s">
        <v>2408</v>
      </c>
      <c r="H713" s="6" t="s">
        <v>2409</v>
      </c>
      <c r="I713" s="6" t="s">
        <v>2412</v>
      </c>
      <c r="J713" s="15" t="s">
        <v>3897</v>
      </c>
      <c r="K713" s="15">
        <v>22630</v>
      </c>
      <c r="L713" s="6" t="s">
        <v>2421</v>
      </c>
      <c r="M713" s="6" t="s">
        <v>3108</v>
      </c>
      <c r="N713" s="6" t="s">
        <v>3372</v>
      </c>
      <c r="O713" s="6" t="s">
        <v>3376</v>
      </c>
      <c r="P713" s="6" t="s">
        <v>3798</v>
      </c>
      <c r="Q713" s="6">
        <v>2194.35</v>
      </c>
      <c r="R713" s="15">
        <v>8</v>
      </c>
      <c r="S713" s="20">
        <v>0.03</v>
      </c>
      <c r="T713" s="15">
        <v>-433.51</v>
      </c>
    </row>
    <row r="714" spans="1:20" x14ac:dyDescent="0.3">
      <c r="A714" s="7" t="s">
        <v>732</v>
      </c>
      <c r="B714" s="13">
        <v>43881.420416666668</v>
      </c>
      <c r="C714" s="13">
        <v>43885.420420420407</v>
      </c>
      <c r="D714" s="8" t="s">
        <v>1020</v>
      </c>
      <c r="E714" s="8" t="s">
        <v>1705</v>
      </c>
      <c r="F714" s="8" t="s">
        <v>2306</v>
      </c>
      <c r="G714" s="8" t="s">
        <v>2407</v>
      </c>
      <c r="H714" s="8" t="s">
        <v>2409</v>
      </c>
      <c r="I714" s="8" t="s">
        <v>2413</v>
      </c>
      <c r="J714" s="16" t="s">
        <v>3893</v>
      </c>
      <c r="K714" s="16">
        <v>32575</v>
      </c>
      <c r="L714" s="8" t="s">
        <v>2420</v>
      </c>
      <c r="M714" s="8" t="s">
        <v>3109</v>
      </c>
      <c r="N714" s="8" t="s">
        <v>3373</v>
      </c>
      <c r="O714" s="8" t="s">
        <v>3385</v>
      </c>
      <c r="P714" s="8" t="s">
        <v>3776</v>
      </c>
      <c r="Q714" s="8">
        <v>4695.3500000000004</v>
      </c>
      <c r="R714" s="16">
        <v>3</v>
      </c>
      <c r="S714" s="21">
        <v>0.22</v>
      </c>
      <c r="T714" s="16">
        <v>-729.43</v>
      </c>
    </row>
    <row r="715" spans="1:20" x14ac:dyDescent="0.3">
      <c r="A715" s="5" t="s">
        <v>733</v>
      </c>
      <c r="B715" s="12">
        <v>43882.516516203701</v>
      </c>
      <c r="C715" s="12">
        <v>43888.516516516524</v>
      </c>
      <c r="D715" s="6" t="s">
        <v>1023</v>
      </c>
      <c r="E715" s="6" t="s">
        <v>1706</v>
      </c>
      <c r="F715" s="6" t="s">
        <v>2248</v>
      </c>
      <c r="G715" s="6" t="s">
        <v>2408</v>
      </c>
      <c r="H715" s="6" t="s">
        <v>2409</v>
      </c>
      <c r="I715" s="6" t="s">
        <v>2418</v>
      </c>
      <c r="J715" s="15" t="s">
        <v>3892</v>
      </c>
      <c r="K715" s="15">
        <v>34077</v>
      </c>
      <c r="L715" s="6" t="s">
        <v>2419</v>
      </c>
      <c r="M715" s="6" t="s">
        <v>3110</v>
      </c>
      <c r="N715" s="6" t="s">
        <v>3372</v>
      </c>
      <c r="O715" s="6" t="s">
        <v>3384</v>
      </c>
      <c r="P715" s="6" t="s">
        <v>3799</v>
      </c>
      <c r="Q715" s="6">
        <v>2196.66</v>
      </c>
      <c r="R715" s="15">
        <v>12</v>
      </c>
      <c r="S715" s="20">
        <v>0.88</v>
      </c>
      <c r="T715" s="15">
        <v>928.61</v>
      </c>
    </row>
    <row r="716" spans="1:20" x14ac:dyDescent="0.3">
      <c r="A716" s="7" t="s">
        <v>734</v>
      </c>
      <c r="B716" s="13">
        <v>43883.612615740742</v>
      </c>
      <c r="C716" s="13">
        <v>43887.612612612596</v>
      </c>
      <c r="D716" s="8" t="s">
        <v>1020</v>
      </c>
      <c r="E716" s="8" t="s">
        <v>1707</v>
      </c>
      <c r="F716" s="8" t="s">
        <v>1969</v>
      </c>
      <c r="G716" s="8" t="s">
        <v>2408</v>
      </c>
      <c r="H716" s="8" t="s">
        <v>2409</v>
      </c>
      <c r="I716" s="8" t="s">
        <v>2414</v>
      </c>
      <c r="J716" s="16" t="s">
        <v>3892</v>
      </c>
      <c r="K716" s="16">
        <v>60230</v>
      </c>
      <c r="L716" s="8" t="s">
        <v>2422</v>
      </c>
      <c r="M716" s="8" t="s">
        <v>3111</v>
      </c>
      <c r="N716" s="8" t="s">
        <v>3372</v>
      </c>
      <c r="O716" s="8" t="s">
        <v>3376</v>
      </c>
      <c r="P716" s="8" t="s">
        <v>3604</v>
      </c>
      <c r="Q716" s="8">
        <v>4934.38</v>
      </c>
      <c r="R716" s="16">
        <v>8</v>
      </c>
      <c r="S716" s="21">
        <v>0.68</v>
      </c>
      <c r="T716" s="16">
        <v>2534.88</v>
      </c>
    </row>
    <row r="717" spans="1:20" x14ac:dyDescent="0.3">
      <c r="A717" s="5" t="s">
        <v>735</v>
      </c>
      <c r="B717" s="12">
        <v>43884.708703703705</v>
      </c>
      <c r="C717" s="12">
        <v>43889.708708708713</v>
      </c>
      <c r="D717" s="6" t="s">
        <v>1021</v>
      </c>
      <c r="E717" s="6" t="s">
        <v>1708</v>
      </c>
      <c r="F717" s="6" t="s">
        <v>1989</v>
      </c>
      <c r="G717" s="6" t="s">
        <v>2406</v>
      </c>
      <c r="H717" s="6" t="s">
        <v>2409</v>
      </c>
      <c r="I717" s="6" t="s">
        <v>2413</v>
      </c>
      <c r="J717" s="15" t="s">
        <v>3894</v>
      </c>
      <c r="K717" s="15">
        <v>94253</v>
      </c>
      <c r="L717" s="6" t="s">
        <v>2419</v>
      </c>
      <c r="M717" s="6" t="s">
        <v>3112</v>
      </c>
      <c r="N717" s="6" t="s">
        <v>3373</v>
      </c>
      <c r="O717" s="6" t="s">
        <v>3381</v>
      </c>
      <c r="P717" s="6" t="s">
        <v>3800</v>
      </c>
      <c r="Q717" s="6">
        <v>4678</v>
      </c>
      <c r="R717" s="15">
        <v>10</v>
      </c>
      <c r="S717" s="20">
        <v>0.84</v>
      </c>
      <c r="T717" s="15">
        <v>-700.75</v>
      </c>
    </row>
    <row r="718" spans="1:20" x14ac:dyDescent="0.3">
      <c r="A718" s="7" t="s">
        <v>736</v>
      </c>
      <c r="B718" s="13">
        <v>43885.804803240739</v>
      </c>
      <c r="C718" s="13">
        <v>43887.8048048048</v>
      </c>
      <c r="D718" s="8" t="s">
        <v>1020</v>
      </c>
      <c r="E718" s="8" t="s">
        <v>1709</v>
      </c>
      <c r="F718" s="8" t="s">
        <v>2355</v>
      </c>
      <c r="G718" s="8" t="s">
        <v>2408</v>
      </c>
      <c r="H718" s="8" t="s">
        <v>2409</v>
      </c>
      <c r="I718" s="8" t="s">
        <v>2411</v>
      </c>
      <c r="J718" s="16" t="s">
        <v>3897</v>
      </c>
      <c r="K718" s="16">
        <v>80122</v>
      </c>
      <c r="L718" s="8" t="s">
        <v>2422</v>
      </c>
      <c r="M718" s="8" t="s">
        <v>3113</v>
      </c>
      <c r="N718" s="8" t="s">
        <v>3372</v>
      </c>
      <c r="O718" s="8" t="s">
        <v>3384</v>
      </c>
      <c r="P718" s="8" t="s">
        <v>3776</v>
      </c>
      <c r="Q718" s="8">
        <v>3552.6</v>
      </c>
      <c r="R718" s="16">
        <v>11</v>
      </c>
      <c r="S718" s="21">
        <v>0.66</v>
      </c>
      <c r="T718" s="16">
        <v>835.18</v>
      </c>
    </row>
    <row r="719" spans="1:20" x14ac:dyDescent="0.3">
      <c r="A719" s="5" t="s">
        <v>737</v>
      </c>
      <c r="B719" s="12">
        <v>43886.900902777779</v>
      </c>
      <c r="C719" s="12">
        <v>43889.900900900888</v>
      </c>
      <c r="D719" s="6" t="s">
        <v>1021</v>
      </c>
      <c r="E719" s="6" t="s">
        <v>1710</v>
      </c>
      <c r="F719" s="6" t="s">
        <v>2356</v>
      </c>
      <c r="G719" s="6" t="s">
        <v>2408</v>
      </c>
      <c r="H719" s="6" t="s">
        <v>2409</v>
      </c>
      <c r="I719" s="6" t="s">
        <v>2411</v>
      </c>
      <c r="J719" s="15" t="s">
        <v>3892</v>
      </c>
      <c r="K719" s="15">
        <v>49516</v>
      </c>
      <c r="L719" s="6" t="s">
        <v>2419</v>
      </c>
      <c r="M719" s="6" t="s">
        <v>3114</v>
      </c>
      <c r="N719" s="6" t="s">
        <v>3371</v>
      </c>
      <c r="O719" s="6" t="s">
        <v>3374</v>
      </c>
      <c r="P719" s="6" t="s">
        <v>3801</v>
      </c>
      <c r="Q719" s="6">
        <v>1993.45</v>
      </c>
      <c r="R719" s="15">
        <v>4</v>
      </c>
      <c r="S719" s="20">
        <v>0.45</v>
      </c>
      <c r="T719" s="15">
        <v>314.83</v>
      </c>
    </row>
    <row r="720" spans="1:20" x14ac:dyDescent="0.3">
      <c r="A720" s="7" t="s">
        <v>738</v>
      </c>
      <c r="B720" s="13">
        <v>43887.997002314813</v>
      </c>
      <c r="C720" s="13">
        <v>43891.99699699699</v>
      </c>
      <c r="D720" s="8" t="s">
        <v>1020</v>
      </c>
      <c r="E720" s="8" t="s">
        <v>1711</v>
      </c>
      <c r="F720" s="8" t="s">
        <v>2123</v>
      </c>
      <c r="G720" s="8" t="s">
        <v>2406</v>
      </c>
      <c r="H720" s="8" t="s">
        <v>2409</v>
      </c>
      <c r="I720" s="8" t="s">
        <v>2418</v>
      </c>
      <c r="J720" s="16" t="s">
        <v>3891</v>
      </c>
      <c r="K720" s="16">
        <v>77019</v>
      </c>
      <c r="L720" s="8" t="s">
        <v>2420</v>
      </c>
      <c r="M720" s="8" t="s">
        <v>3115</v>
      </c>
      <c r="N720" s="8" t="s">
        <v>3372</v>
      </c>
      <c r="O720" s="8" t="s">
        <v>3384</v>
      </c>
      <c r="P720" s="8" t="s">
        <v>3802</v>
      </c>
      <c r="Q720" s="8">
        <v>2816.76</v>
      </c>
      <c r="R720" s="16">
        <v>2</v>
      </c>
      <c r="S720" s="21">
        <v>0.83</v>
      </c>
      <c r="T720" s="16">
        <v>1295.8399999999999</v>
      </c>
    </row>
    <row r="721" spans="1:20" x14ac:dyDescent="0.3">
      <c r="A721" s="5" t="s">
        <v>739</v>
      </c>
      <c r="B721" s="12">
        <v>43889.093090277776</v>
      </c>
      <c r="C721" s="12">
        <v>43893.093093093092</v>
      </c>
      <c r="D721" s="6" t="s">
        <v>1022</v>
      </c>
      <c r="E721" s="6" t="s">
        <v>1712</v>
      </c>
      <c r="F721" s="6" t="s">
        <v>2095</v>
      </c>
      <c r="G721" s="6" t="s">
        <v>2407</v>
      </c>
      <c r="H721" s="6" t="s">
        <v>2409</v>
      </c>
      <c r="I721" s="6" t="s">
        <v>2413</v>
      </c>
      <c r="J721" s="15" t="s">
        <v>3896</v>
      </c>
      <c r="K721" s="15">
        <v>15996</v>
      </c>
      <c r="L721" s="6" t="s">
        <v>2421</v>
      </c>
      <c r="M721" s="6" t="s">
        <v>3116</v>
      </c>
      <c r="N721" s="6" t="s">
        <v>3372</v>
      </c>
      <c r="O721" s="6" t="s">
        <v>3384</v>
      </c>
      <c r="P721" s="6" t="s">
        <v>3700</v>
      </c>
      <c r="Q721" s="6">
        <v>3783.52</v>
      </c>
      <c r="R721" s="15">
        <v>11</v>
      </c>
      <c r="S721" s="20">
        <v>0.36</v>
      </c>
      <c r="T721" s="15">
        <v>2153.88</v>
      </c>
    </row>
    <row r="722" spans="1:20" x14ac:dyDescent="0.3">
      <c r="A722" s="7" t="s">
        <v>740</v>
      </c>
      <c r="B722" s="13">
        <v>43890.189189814817</v>
      </c>
      <c r="C722" s="13">
        <v>43892.189189189179</v>
      </c>
      <c r="D722" s="8" t="s">
        <v>1021</v>
      </c>
      <c r="E722" s="8" t="s">
        <v>1713</v>
      </c>
      <c r="F722" s="8" t="s">
        <v>2357</v>
      </c>
      <c r="G722" s="8" t="s">
        <v>2408</v>
      </c>
      <c r="H722" s="8" t="s">
        <v>2409</v>
      </c>
      <c r="I722" s="8" t="s">
        <v>2416</v>
      </c>
      <c r="J722" s="16" t="s">
        <v>2410</v>
      </c>
      <c r="K722" s="16">
        <v>52790</v>
      </c>
      <c r="L722" s="8" t="s">
        <v>2422</v>
      </c>
      <c r="M722" s="8" t="s">
        <v>3117</v>
      </c>
      <c r="N722" s="8" t="s">
        <v>3372</v>
      </c>
      <c r="O722" s="8" t="s">
        <v>3377</v>
      </c>
      <c r="P722" s="8" t="s">
        <v>3439</v>
      </c>
      <c r="Q722" s="8">
        <v>2770.34</v>
      </c>
      <c r="R722" s="16">
        <v>3</v>
      </c>
      <c r="S722" s="21">
        <v>0.2</v>
      </c>
      <c r="T722" s="16">
        <v>1335.59</v>
      </c>
    </row>
    <row r="723" spans="1:20" x14ac:dyDescent="0.3">
      <c r="A723" s="5" t="s">
        <v>741</v>
      </c>
      <c r="B723" s="12">
        <v>43891.28528935185</v>
      </c>
      <c r="C723" s="12">
        <v>43892.285285285281</v>
      </c>
      <c r="D723" s="6" t="s">
        <v>1023</v>
      </c>
      <c r="E723" s="6" t="s">
        <v>1714</v>
      </c>
      <c r="F723" s="6" t="s">
        <v>2246</v>
      </c>
      <c r="G723" s="6" t="s">
        <v>2407</v>
      </c>
      <c r="H723" s="6" t="s">
        <v>2409</v>
      </c>
      <c r="I723" s="6" t="s">
        <v>2414</v>
      </c>
      <c r="J723" s="15" t="s">
        <v>3897</v>
      </c>
      <c r="K723" s="15">
        <v>21410</v>
      </c>
      <c r="L723" s="6" t="s">
        <v>2422</v>
      </c>
      <c r="M723" s="6" t="s">
        <v>3118</v>
      </c>
      <c r="N723" s="6" t="s">
        <v>3373</v>
      </c>
      <c r="O723" s="6" t="s">
        <v>3385</v>
      </c>
      <c r="P723" s="6" t="s">
        <v>3639</v>
      </c>
      <c r="Q723" s="6">
        <v>2678.94</v>
      </c>
      <c r="R723" s="15">
        <v>2</v>
      </c>
      <c r="S723" s="20">
        <v>0.72</v>
      </c>
      <c r="T723" s="15">
        <v>546.47</v>
      </c>
    </row>
    <row r="724" spans="1:20" x14ac:dyDescent="0.3">
      <c r="A724" s="7" t="s">
        <v>742</v>
      </c>
      <c r="B724" s="13">
        <v>43892.381377314814</v>
      </c>
      <c r="C724" s="13">
        <v>43895.381381381383</v>
      </c>
      <c r="D724" s="8" t="s">
        <v>1022</v>
      </c>
      <c r="E724" s="8" t="s">
        <v>1093</v>
      </c>
      <c r="F724" s="8" t="s">
        <v>2358</v>
      </c>
      <c r="G724" s="8" t="s">
        <v>2408</v>
      </c>
      <c r="H724" s="8" t="s">
        <v>2409</v>
      </c>
      <c r="I724" s="8" t="s">
        <v>2410</v>
      </c>
      <c r="J724" s="16" t="s">
        <v>3892</v>
      </c>
      <c r="K724" s="16">
        <v>45305</v>
      </c>
      <c r="L724" s="8" t="s">
        <v>2422</v>
      </c>
      <c r="M724" s="8" t="s">
        <v>3119</v>
      </c>
      <c r="N724" s="8" t="s">
        <v>3371</v>
      </c>
      <c r="O724" s="8" t="s">
        <v>3375</v>
      </c>
      <c r="P724" s="8" t="s">
        <v>3420</v>
      </c>
      <c r="Q724" s="8">
        <v>1474.25</v>
      </c>
      <c r="R724" s="16">
        <v>11</v>
      </c>
      <c r="S724" s="21">
        <v>0.23</v>
      </c>
      <c r="T724" s="16">
        <v>261.85000000000002</v>
      </c>
    </row>
    <row r="725" spans="1:20" x14ac:dyDescent="0.3">
      <c r="A725" s="5" t="s">
        <v>743</v>
      </c>
      <c r="B725" s="12">
        <v>43893.477476851855</v>
      </c>
      <c r="C725" s="12">
        <v>43898.477477477478</v>
      </c>
      <c r="D725" s="6" t="s">
        <v>1020</v>
      </c>
      <c r="E725" s="6" t="s">
        <v>1715</v>
      </c>
      <c r="F725" s="6" t="s">
        <v>2359</v>
      </c>
      <c r="G725" s="6" t="s">
        <v>2406</v>
      </c>
      <c r="H725" s="6" t="s">
        <v>2409</v>
      </c>
      <c r="I725" s="6" t="s">
        <v>2411</v>
      </c>
      <c r="J725" s="15" t="s">
        <v>3898</v>
      </c>
      <c r="K725" s="15">
        <v>81568</v>
      </c>
      <c r="L725" s="6" t="s">
        <v>2421</v>
      </c>
      <c r="M725" s="6" t="s">
        <v>3120</v>
      </c>
      <c r="N725" s="6" t="s">
        <v>3372</v>
      </c>
      <c r="O725" s="6" t="s">
        <v>3376</v>
      </c>
      <c r="P725" s="6" t="s">
        <v>3803</v>
      </c>
      <c r="Q725" s="6">
        <v>1821.13</v>
      </c>
      <c r="R725" s="15">
        <v>6</v>
      </c>
      <c r="S725" s="20">
        <v>0.87</v>
      </c>
      <c r="T725" s="15">
        <v>-177.43</v>
      </c>
    </row>
    <row r="726" spans="1:20" x14ac:dyDescent="0.3">
      <c r="A726" s="7" t="s">
        <v>744</v>
      </c>
      <c r="B726" s="13">
        <v>43894.573576388888</v>
      </c>
      <c r="C726" s="13">
        <v>43897.573573573573</v>
      </c>
      <c r="D726" s="8" t="s">
        <v>1021</v>
      </c>
      <c r="E726" s="8" t="s">
        <v>1716</v>
      </c>
      <c r="F726" s="8" t="s">
        <v>2137</v>
      </c>
      <c r="G726" s="8" t="s">
        <v>2406</v>
      </c>
      <c r="H726" s="8" t="s">
        <v>2409</v>
      </c>
      <c r="I726" s="8" t="s">
        <v>2413</v>
      </c>
      <c r="J726" s="16" t="s">
        <v>3894</v>
      </c>
      <c r="K726" s="16">
        <v>47461</v>
      </c>
      <c r="L726" s="8" t="s">
        <v>2421</v>
      </c>
      <c r="M726" s="8" t="s">
        <v>3121</v>
      </c>
      <c r="N726" s="8" t="s">
        <v>3371</v>
      </c>
      <c r="O726" s="8" t="s">
        <v>3382</v>
      </c>
      <c r="P726" s="8" t="s">
        <v>3435</v>
      </c>
      <c r="Q726" s="8">
        <v>3031.99</v>
      </c>
      <c r="R726" s="16">
        <v>14</v>
      </c>
      <c r="S726" s="21">
        <v>0.63</v>
      </c>
      <c r="T726" s="16">
        <v>-120.52</v>
      </c>
    </row>
    <row r="727" spans="1:20" x14ac:dyDescent="0.3">
      <c r="A727" s="5" t="s">
        <v>745</v>
      </c>
      <c r="B727" s="12">
        <v>43895.669664351852</v>
      </c>
      <c r="C727" s="12">
        <v>43896.669669669667</v>
      </c>
      <c r="D727" s="6" t="s">
        <v>1022</v>
      </c>
      <c r="E727" s="6" t="s">
        <v>1717</v>
      </c>
      <c r="F727" s="6" t="s">
        <v>1998</v>
      </c>
      <c r="G727" s="6" t="s">
        <v>2407</v>
      </c>
      <c r="H727" s="6" t="s">
        <v>2409</v>
      </c>
      <c r="I727" s="6" t="s">
        <v>2410</v>
      </c>
      <c r="J727" s="15" t="s">
        <v>3895</v>
      </c>
      <c r="K727" s="15">
        <v>50219</v>
      </c>
      <c r="L727" s="6" t="s">
        <v>2422</v>
      </c>
      <c r="M727" s="6" t="s">
        <v>3122</v>
      </c>
      <c r="N727" s="6" t="s">
        <v>3371</v>
      </c>
      <c r="O727" s="6" t="s">
        <v>3382</v>
      </c>
      <c r="P727" s="6" t="s">
        <v>3804</v>
      </c>
      <c r="Q727" s="6">
        <v>3837.64</v>
      </c>
      <c r="R727" s="15">
        <v>3</v>
      </c>
      <c r="S727" s="20">
        <v>0.74</v>
      </c>
      <c r="T727" s="15">
        <v>995.1</v>
      </c>
    </row>
    <row r="728" spans="1:20" x14ac:dyDescent="0.3">
      <c r="A728" s="7" t="s">
        <v>746</v>
      </c>
      <c r="B728" s="13">
        <v>43896.765763888892</v>
      </c>
      <c r="C728" s="13">
        <v>43897.765765765762</v>
      </c>
      <c r="D728" s="8" t="s">
        <v>1023</v>
      </c>
      <c r="E728" s="8" t="s">
        <v>1718</v>
      </c>
      <c r="F728" s="8" t="s">
        <v>1982</v>
      </c>
      <c r="G728" s="8" t="s">
        <v>2406</v>
      </c>
      <c r="H728" s="8" t="s">
        <v>2409</v>
      </c>
      <c r="I728" s="8" t="s">
        <v>2416</v>
      </c>
      <c r="J728" s="16" t="s">
        <v>3892</v>
      </c>
      <c r="K728" s="16">
        <v>41847</v>
      </c>
      <c r="L728" s="8" t="s">
        <v>2419</v>
      </c>
      <c r="M728" s="8" t="s">
        <v>2484</v>
      </c>
      <c r="N728" s="8" t="s">
        <v>3371</v>
      </c>
      <c r="O728" s="8" t="s">
        <v>3374</v>
      </c>
      <c r="P728" s="8" t="s">
        <v>3421</v>
      </c>
      <c r="Q728" s="8">
        <v>4122.92</v>
      </c>
      <c r="R728" s="16">
        <v>10</v>
      </c>
      <c r="S728" s="21">
        <v>0.83</v>
      </c>
      <c r="T728" s="16">
        <v>2322.98</v>
      </c>
    </row>
    <row r="729" spans="1:20" x14ac:dyDescent="0.3">
      <c r="A729" s="5" t="s">
        <v>747</v>
      </c>
      <c r="B729" s="12">
        <v>43897.861863425926</v>
      </c>
      <c r="C729" s="12">
        <v>43900.861861861849</v>
      </c>
      <c r="D729" s="6" t="s">
        <v>1023</v>
      </c>
      <c r="E729" s="6" t="s">
        <v>1719</v>
      </c>
      <c r="F729" s="6" t="s">
        <v>2293</v>
      </c>
      <c r="G729" s="6" t="s">
        <v>2406</v>
      </c>
      <c r="H729" s="6" t="s">
        <v>2409</v>
      </c>
      <c r="I729" s="6" t="s">
        <v>2415</v>
      </c>
      <c r="J729" s="15" t="s">
        <v>2410</v>
      </c>
      <c r="K729" s="15">
        <v>67161</v>
      </c>
      <c r="L729" s="6" t="s">
        <v>2420</v>
      </c>
      <c r="M729" s="6" t="s">
        <v>3123</v>
      </c>
      <c r="N729" s="6" t="s">
        <v>3372</v>
      </c>
      <c r="O729" s="6" t="s">
        <v>3376</v>
      </c>
      <c r="P729" s="6" t="s">
        <v>3630</v>
      </c>
      <c r="Q729" s="6">
        <v>4288.7700000000004</v>
      </c>
      <c r="R729" s="15">
        <v>4</v>
      </c>
      <c r="S729" s="20">
        <v>0.67</v>
      </c>
      <c r="T729" s="15">
        <v>1793.5</v>
      </c>
    </row>
    <row r="730" spans="1:20" x14ac:dyDescent="0.3">
      <c r="A730" s="7" t="s">
        <v>748</v>
      </c>
      <c r="B730" s="13">
        <v>43898.957962962966</v>
      </c>
      <c r="C730" s="13">
        <v>43901.957957957951</v>
      </c>
      <c r="D730" s="8" t="s">
        <v>1023</v>
      </c>
      <c r="E730" s="8" t="s">
        <v>1720</v>
      </c>
      <c r="F730" s="8" t="s">
        <v>2315</v>
      </c>
      <c r="G730" s="8" t="s">
        <v>2408</v>
      </c>
      <c r="H730" s="8" t="s">
        <v>2409</v>
      </c>
      <c r="I730" s="8" t="s">
        <v>2416</v>
      </c>
      <c r="J730" s="16" t="s">
        <v>3892</v>
      </c>
      <c r="K730" s="16">
        <v>14765</v>
      </c>
      <c r="L730" s="8" t="s">
        <v>2421</v>
      </c>
      <c r="M730" s="8" t="s">
        <v>3124</v>
      </c>
      <c r="N730" s="8" t="s">
        <v>3373</v>
      </c>
      <c r="O730" s="8" t="s">
        <v>3381</v>
      </c>
      <c r="P730" s="8" t="s">
        <v>3761</v>
      </c>
      <c r="Q730" s="8">
        <v>1679.44</v>
      </c>
      <c r="R730" s="16">
        <v>4</v>
      </c>
      <c r="S730" s="21">
        <v>0.46</v>
      </c>
      <c r="T730" s="16">
        <v>544.86</v>
      </c>
    </row>
    <row r="731" spans="1:20" x14ac:dyDescent="0.3">
      <c r="A731" s="5" t="s">
        <v>749</v>
      </c>
      <c r="B731" s="12">
        <v>43900.054050925923</v>
      </c>
      <c r="C731" s="12">
        <v>43902.054054054053</v>
      </c>
      <c r="D731" s="6" t="s">
        <v>1022</v>
      </c>
      <c r="E731" s="6" t="s">
        <v>1721</v>
      </c>
      <c r="F731" s="6" t="s">
        <v>2273</v>
      </c>
      <c r="G731" s="6" t="s">
        <v>2407</v>
      </c>
      <c r="H731" s="6" t="s">
        <v>2409</v>
      </c>
      <c r="I731" s="6" t="s">
        <v>2412</v>
      </c>
      <c r="J731" s="15" t="s">
        <v>3897</v>
      </c>
      <c r="K731" s="15">
        <v>60035</v>
      </c>
      <c r="L731" s="6" t="s">
        <v>2419</v>
      </c>
      <c r="M731" s="6" t="s">
        <v>3125</v>
      </c>
      <c r="N731" s="6" t="s">
        <v>3371</v>
      </c>
      <c r="O731" s="6" t="s">
        <v>3383</v>
      </c>
      <c r="P731" s="6" t="s">
        <v>3700</v>
      </c>
      <c r="Q731" s="6">
        <v>4488.08</v>
      </c>
      <c r="R731" s="15">
        <v>13</v>
      </c>
      <c r="S731" s="20">
        <v>0.14000000000000001</v>
      </c>
      <c r="T731" s="15">
        <v>228.87</v>
      </c>
    </row>
    <row r="732" spans="1:20" x14ac:dyDescent="0.3">
      <c r="A732" s="7" t="s">
        <v>750</v>
      </c>
      <c r="B732" s="13">
        <v>43901.150150462963</v>
      </c>
      <c r="C732" s="13">
        <v>43906.150150150141</v>
      </c>
      <c r="D732" s="8" t="s">
        <v>1021</v>
      </c>
      <c r="E732" s="8" t="s">
        <v>1722</v>
      </c>
      <c r="F732" s="8" t="s">
        <v>2324</v>
      </c>
      <c r="G732" s="8" t="s">
        <v>2406</v>
      </c>
      <c r="H732" s="8" t="s">
        <v>2409</v>
      </c>
      <c r="I732" s="8" t="s">
        <v>2411</v>
      </c>
      <c r="J732" s="16" t="s">
        <v>2410</v>
      </c>
      <c r="K732" s="16">
        <v>70859</v>
      </c>
      <c r="L732" s="8" t="s">
        <v>2422</v>
      </c>
      <c r="M732" s="8" t="s">
        <v>3126</v>
      </c>
      <c r="N732" s="8" t="s">
        <v>3373</v>
      </c>
      <c r="O732" s="8" t="s">
        <v>3380</v>
      </c>
      <c r="P732" s="8" t="s">
        <v>3805</v>
      </c>
      <c r="Q732" s="8">
        <v>2686.69</v>
      </c>
      <c r="R732" s="16">
        <v>8</v>
      </c>
      <c r="S732" s="21">
        <v>0.19</v>
      </c>
      <c r="T732" s="16">
        <v>1578.19</v>
      </c>
    </row>
    <row r="733" spans="1:20" x14ac:dyDescent="0.3">
      <c r="A733" s="5" t="s">
        <v>751</v>
      </c>
      <c r="B733" s="12">
        <v>43902.246249999997</v>
      </c>
      <c r="C733" s="12">
        <v>43907.246246246243</v>
      </c>
      <c r="D733" s="6" t="s">
        <v>1023</v>
      </c>
      <c r="E733" s="6" t="s">
        <v>1723</v>
      </c>
      <c r="F733" s="6" t="s">
        <v>2183</v>
      </c>
      <c r="G733" s="6" t="s">
        <v>2406</v>
      </c>
      <c r="H733" s="6" t="s">
        <v>2409</v>
      </c>
      <c r="I733" s="6" t="s">
        <v>2416</v>
      </c>
      <c r="J733" s="15" t="s">
        <v>2410</v>
      </c>
      <c r="K733" s="15">
        <v>94989</v>
      </c>
      <c r="L733" s="6" t="s">
        <v>2421</v>
      </c>
      <c r="M733" s="6" t="s">
        <v>3127</v>
      </c>
      <c r="N733" s="6" t="s">
        <v>3372</v>
      </c>
      <c r="O733" s="6" t="s">
        <v>3384</v>
      </c>
      <c r="P733" s="6" t="s">
        <v>3806</v>
      </c>
      <c r="Q733" s="6">
        <v>1097.01</v>
      </c>
      <c r="R733" s="15">
        <v>12</v>
      </c>
      <c r="S733" s="20">
        <v>0.79</v>
      </c>
      <c r="T733" s="15">
        <v>612.08000000000004</v>
      </c>
    </row>
    <row r="734" spans="1:20" x14ac:dyDescent="0.3">
      <c r="A734" s="7" t="s">
        <v>752</v>
      </c>
      <c r="B734" s="13">
        <v>43903.34233796296</v>
      </c>
      <c r="C734" s="13">
        <v>43909.342342342337</v>
      </c>
      <c r="D734" s="8" t="s">
        <v>1022</v>
      </c>
      <c r="E734" s="8" t="s">
        <v>1724</v>
      </c>
      <c r="F734" s="8" t="s">
        <v>2172</v>
      </c>
      <c r="G734" s="8" t="s">
        <v>2406</v>
      </c>
      <c r="H734" s="8" t="s">
        <v>2409</v>
      </c>
      <c r="I734" s="8" t="s">
        <v>2418</v>
      </c>
      <c r="J734" s="16" t="s">
        <v>3892</v>
      </c>
      <c r="K734" s="16">
        <v>78385</v>
      </c>
      <c r="L734" s="8" t="s">
        <v>2421</v>
      </c>
      <c r="M734" s="8" t="s">
        <v>3128</v>
      </c>
      <c r="N734" s="8" t="s">
        <v>3371</v>
      </c>
      <c r="O734" s="8" t="s">
        <v>3375</v>
      </c>
      <c r="P734" s="8" t="s">
        <v>3466</v>
      </c>
      <c r="Q734" s="8">
        <v>2776.84</v>
      </c>
      <c r="R734" s="16">
        <v>4</v>
      </c>
      <c r="S734" s="21">
        <v>0.24</v>
      </c>
      <c r="T734" s="16">
        <v>21.95</v>
      </c>
    </row>
    <row r="735" spans="1:20" x14ac:dyDescent="0.3">
      <c r="A735" s="5" t="s">
        <v>753</v>
      </c>
      <c r="B735" s="12">
        <v>43904.438437500001</v>
      </c>
      <c r="C735" s="12">
        <v>43907.438438438439</v>
      </c>
      <c r="D735" s="6" t="s">
        <v>1021</v>
      </c>
      <c r="E735" s="6" t="s">
        <v>1725</v>
      </c>
      <c r="F735" s="6" t="s">
        <v>2173</v>
      </c>
      <c r="G735" s="6" t="s">
        <v>2406</v>
      </c>
      <c r="H735" s="6" t="s">
        <v>2409</v>
      </c>
      <c r="I735" s="6" t="s">
        <v>2418</v>
      </c>
      <c r="J735" s="15" t="s">
        <v>3898</v>
      </c>
      <c r="K735" s="15">
        <v>13969</v>
      </c>
      <c r="L735" s="6" t="s">
        <v>2419</v>
      </c>
      <c r="M735" s="6" t="s">
        <v>3129</v>
      </c>
      <c r="N735" s="6" t="s">
        <v>3372</v>
      </c>
      <c r="O735" s="6" t="s">
        <v>3377</v>
      </c>
      <c r="P735" s="6" t="s">
        <v>3665</v>
      </c>
      <c r="Q735" s="6">
        <v>4765.26</v>
      </c>
      <c r="R735" s="15">
        <v>12</v>
      </c>
      <c r="S735" s="20">
        <v>0.65</v>
      </c>
      <c r="T735" s="15">
        <v>1686.78</v>
      </c>
    </row>
    <row r="736" spans="1:20" x14ac:dyDescent="0.3">
      <c r="A736" s="7" t="s">
        <v>754</v>
      </c>
      <c r="B736" s="13">
        <v>43905.534537037034</v>
      </c>
      <c r="C736" s="13">
        <v>43906.534534534527</v>
      </c>
      <c r="D736" s="8" t="s">
        <v>1021</v>
      </c>
      <c r="E736" s="8" t="s">
        <v>1726</v>
      </c>
      <c r="F736" s="8" t="s">
        <v>2146</v>
      </c>
      <c r="G736" s="8" t="s">
        <v>2408</v>
      </c>
      <c r="H736" s="8" t="s">
        <v>2409</v>
      </c>
      <c r="I736" s="8" t="s">
        <v>2418</v>
      </c>
      <c r="J736" s="16" t="s">
        <v>3891</v>
      </c>
      <c r="K736" s="16">
        <v>17604</v>
      </c>
      <c r="L736" s="8" t="s">
        <v>2420</v>
      </c>
      <c r="M736" s="8" t="s">
        <v>2859</v>
      </c>
      <c r="N736" s="8" t="s">
        <v>3371</v>
      </c>
      <c r="O736" s="8" t="s">
        <v>3383</v>
      </c>
      <c r="P736" s="8" t="s">
        <v>3431</v>
      </c>
      <c r="Q736" s="8">
        <v>4091.98</v>
      </c>
      <c r="R736" s="16">
        <v>9</v>
      </c>
      <c r="S736" s="21">
        <v>0.56999999999999995</v>
      </c>
      <c r="T736" s="16">
        <v>362.73</v>
      </c>
    </row>
    <row r="737" spans="1:20" x14ac:dyDescent="0.3">
      <c r="A737" s="5" t="s">
        <v>755</v>
      </c>
      <c r="B737" s="12">
        <v>43906.630624999998</v>
      </c>
      <c r="C737" s="12">
        <v>43908.630630630621</v>
      </c>
      <c r="D737" s="6" t="s">
        <v>1022</v>
      </c>
      <c r="E737" s="6" t="s">
        <v>1727</v>
      </c>
      <c r="F737" s="6" t="s">
        <v>2176</v>
      </c>
      <c r="G737" s="6" t="s">
        <v>2408</v>
      </c>
      <c r="H737" s="6" t="s">
        <v>2409</v>
      </c>
      <c r="I737" s="6" t="s">
        <v>2410</v>
      </c>
      <c r="J737" s="15" t="s">
        <v>3894</v>
      </c>
      <c r="K737" s="15">
        <v>67266</v>
      </c>
      <c r="L737" s="6" t="s">
        <v>2422</v>
      </c>
      <c r="M737" s="6" t="s">
        <v>3130</v>
      </c>
      <c r="N737" s="6" t="s">
        <v>3372</v>
      </c>
      <c r="O737" s="6" t="s">
        <v>3376</v>
      </c>
      <c r="P737" s="6" t="s">
        <v>3751</v>
      </c>
      <c r="Q737" s="6">
        <v>4416.42</v>
      </c>
      <c r="R737" s="15">
        <v>8</v>
      </c>
      <c r="S737" s="20">
        <v>0.19</v>
      </c>
      <c r="T737" s="15">
        <v>-656.7</v>
      </c>
    </row>
    <row r="738" spans="1:20" x14ac:dyDescent="0.3">
      <c r="A738" s="7" t="s">
        <v>756</v>
      </c>
      <c r="B738" s="13">
        <v>43907.726724537039</v>
      </c>
      <c r="C738" s="13">
        <v>43910.726726726723</v>
      </c>
      <c r="D738" s="8" t="s">
        <v>1021</v>
      </c>
      <c r="E738" s="8" t="s">
        <v>1728</v>
      </c>
      <c r="F738" s="8" t="s">
        <v>2304</v>
      </c>
      <c r="G738" s="8" t="s">
        <v>2408</v>
      </c>
      <c r="H738" s="8" t="s">
        <v>2409</v>
      </c>
      <c r="I738" s="8" t="s">
        <v>2410</v>
      </c>
      <c r="J738" s="16" t="s">
        <v>3895</v>
      </c>
      <c r="K738" s="16">
        <v>90637</v>
      </c>
      <c r="L738" s="8" t="s">
        <v>2422</v>
      </c>
      <c r="M738" s="8" t="s">
        <v>3131</v>
      </c>
      <c r="N738" s="8" t="s">
        <v>3371</v>
      </c>
      <c r="O738" s="8" t="s">
        <v>3383</v>
      </c>
      <c r="P738" s="8" t="s">
        <v>3593</v>
      </c>
      <c r="Q738" s="8">
        <v>2562.4</v>
      </c>
      <c r="R738" s="16">
        <v>12</v>
      </c>
      <c r="S738" s="21">
        <v>0.01</v>
      </c>
      <c r="T738" s="16">
        <v>116.38</v>
      </c>
    </row>
    <row r="739" spans="1:20" x14ac:dyDescent="0.3">
      <c r="A739" s="5" t="s">
        <v>757</v>
      </c>
      <c r="B739" s="12">
        <v>43908.822824074072</v>
      </c>
      <c r="C739" s="12">
        <v>43909.822822822811</v>
      </c>
      <c r="D739" s="6" t="s">
        <v>1021</v>
      </c>
      <c r="E739" s="6" t="s">
        <v>1729</v>
      </c>
      <c r="F739" s="6" t="s">
        <v>2233</v>
      </c>
      <c r="G739" s="6" t="s">
        <v>2407</v>
      </c>
      <c r="H739" s="6" t="s">
        <v>2409</v>
      </c>
      <c r="I739" s="6" t="s">
        <v>2417</v>
      </c>
      <c r="J739" s="15" t="s">
        <v>3891</v>
      </c>
      <c r="K739" s="15">
        <v>20771</v>
      </c>
      <c r="L739" s="6" t="s">
        <v>2419</v>
      </c>
      <c r="M739" s="6" t="s">
        <v>3132</v>
      </c>
      <c r="N739" s="6" t="s">
        <v>3372</v>
      </c>
      <c r="O739" s="6" t="s">
        <v>3377</v>
      </c>
      <c r="P739" s="6" t="s">
        <v>3807</v>
      </c>
      <c r="Q739" s="6">
        <v>1351.23</v>
      </c>
      <c r="R739" s="15">
        <v>12</v>
      </c>
      <c r="S739" s="20">
        <v>0.65</v>
      </c>
      <c r="T739" s="15">
        <v>-43.09</v>
      </c>
    </row>
    <row r="740" spans="1:20" x14ac:dyDescent="0.3">
      <c r="A740" s="7" t="s">
        <v>758</v>
      </c>
      <c r="B740" s="13">
        <v>43909.918923611112</v>
      </c>
      <c r="C740" s="13">
        <v>43915.918918918913</v>
      </c>
      <c r="D740" s="8" t="s">
        <v>1022</v>
      </c>
      <c r="E740" s="8" t="s">
        <v>1730</v>
      </c>
      <c r="F740" s="8" t="s">
        <v>2017</v>
      </c>
      <c r="G740" s="8" t="s">
        <v>2408</v>
      </c>
      <c r="H740" s="8" t="s">
        <v>2409</v>
      </c>
      <c r="I740" s="8" t="s">
        <v>2417</v>
      </c>
      <c r="J740" s="16" t="s">
        <v>3896</v>
      </c>
      <c r="K740" s="16">
        <v>49602</v>
      </c>
      <c r="L740" s="8" t="s">
        <v>2419</v>
      </c>
      <c r="M740" s="8" t="s">
        <v>3133</v>
      </c>
      <c r="N740" s="8" t="s">
        <v>3372</v>
      </c>
      <c r="O740" s="8" t="s">
        <v>3377</v>
      </c>
      <c r="P740" s="8" t="s">
        <v>3405</v>
      </c>
      <c r="Q740" s="8">
        <v>2994.32</v>
      </c>
      <c r="R740" s="16">
        <v>14</v>
      </c>
      <c r="S740" s="21">
        <v>0.81</v>
      </c>
      <c r="T740" s="16">
        <v>734.61</v>
      </c>
    </row>
    <row r="741" spans="1:20" x14ac:dyDescent="0.3">
      <c r="A741" s="5" t="s">
        <v>759</v>
      </c>
      <c r="B741" s="12">
        <v>43911.015011574076</v>
      </c>
      <c r="C741" s="12">
        <v>43915.015015015008</v>
      </c>
      <c r="D741" s="6" t="s">
        <v>1022</v>
      </c>
      <c r="E741" s="6" t="s">
        <v>1731</v>
      </c>
      <c r="F741" s="6" t="s">
        <v>2176</v>
      </c>
      <c r="G741" s="6" t="s">
        <v>2408</v>
      </c>
      <c r="H741" s="6" t="s">
        <v>2409</v>
      </c>
      <c r="I741" s="6" t="s">
        <v>2411</v>
      </c>
      <c r="J741" s="15" t="s">
        <v>3892</v>
      </c>
      <c r="K741" s="15">
        <v>76568</v>
      </c>
      <c r="L741" s="6" t="s">
        <v>2421</v>
      </c>
      <c r="M741" s="6" t="s">
        <v>3134</v>
      </c>
      <c r="N741" s="6" t="s">
        <v>3373</v>
      </c>
      <c r="O741" s="6" t="s">
        <v>3381</v>
      </c>
      <c r="P741" s="6" t="s">
        <v>3449</v>
      </c>
      <c r="Q741" s="6">
        <v>838.42</v>
      </c>
      <c r="R741" s="15">
        <v>5</v>
      </c>
      <c r="S741" s="20">
        <v>0.84</v>
      </c>
      <c r="T741" s="15">
        <v>419.15</v>
      </c>
    </row>
    <row r="742" spans="1:20" x14ac:dyDescent="0.3">
      <c r="A742" s="7" t="s">
        <v>760</v>
      </c>
      <c r="B742" s="13">
        <v>43912.111111111109</v>
      </c>
      <c r="C742" s="13">
        <v>43914.111111111109</v>
      </c>
      <c r="D742" s="8" t="s">
        <v>1022</v>
      </c>
      <c r="E742" s="8" t="s">
        <v>1732</v>
      </c>
      <c r="F742" s="8" t="s">
        <v>2360</v>
      </c>
      <c r="G742" s="8" t="s">
        <v>2408</v>
      </c>
      <c r="H742" s="8" t="s">
        <v>2409</v>
      </c>
      <c r="I742" s="8" t="s">
        <v>2410</v>
      </c>
      <c r="J742" s="16" t="s">
        <v>3896</v>
      </c>
      <c r="K742" s="16">
        <v>83987</v>
      </c>
      <c r="L742" s="8" t="s">
        <v>2419</v>
      </c>
      <c r="M742" s="8" t="s">
        <v>3135</v>
      </c>
      <c r="N742" s="8" t="s">
        <v>3373</v>
      </c>
      <c r="O742" s="8" t="s">
        <v>3385</v>
      </c>
      <c r="P742" s="8" t="s">
        <v>3477</v>
      </c>
      <c r="Q742" s="8">
        <v>1754.07</v>
      </c>
      <c r="R742" s="16">
        <v>10</v>
      </c>
      <c r="S742" s="21">
        <v>0.54</v>
      </c>
      <c r="T742" s="16">
        <v>295.98</v>
      </c>
    </row>
    <row r="743" spans="1:20" x14ac:dyDescent="0.3">
      <c r="A743" s="5" t="s">
        <v>761</v>
      </c>
      <c r="B743" s="12">
        <v>43913.20721064815</v>
      </c>
      <c r="C743" s="12">
        <v>43916.207207207197</v>
      </c>
      <c r="D743" s="6" t="s">
        <v>1021</v>
      </c>
      <c r="E743" s="6" t="s">
        <v>1733</v>
      </c>
      <c r="F743" s="6" t="s">
        <v>2194</v>
      </c>
      <c r="G743" s="6" t="s">
        <v>2408</v>
      </c>
      <c r="H743" s="6" t="s">
        <v>2409</v>
      </c>
      <c r="I743" s="6" t="s">
        <v>2411</v>
      </c>
      <c r="J743" s="15" t="s">
        <v>3893</v>
      </c>
      <c r="K743" s="15">
        <v>30370</v>
      </c>
      <c r="L743" s="6" t="s">
        <v>2422</v>
      </c>
      <c r="M743" s="6" t="s">
        <v>3136</v>
      </c>
      <c r="N743" s="6" t="s">
        <v>3373</v>
      </c>
      <c r="O743" s="6" t="s">
        <v>3380</v>
      </c>
      <c r="P743" s="6" t="s">
        <v>3514</v>
      </c>
      <c r="Q743" s="6">
        <v>1604.1</v>
      </c>
      <c r="R743" s="15">
        <v>2</v>
      </c>
      <c r="S743" s="20">
        <v>0.44</v>
      </c>
      <c r="T743" s="15">
        <v>-201.1</v>
      </c>
    </row>
    <row r="744" spans="1:20" x14ac:dyDescent="0.3">
      <c r="A744" s="7" t="s">
        <v>762</v>
      </c>
      <c r="B744" s="13">
        <v>43914.303298611114</v>
      </c>
      <c r="C744" s="13">
        <v>43919.303303303299</v>
      </c>
      <c r="D744" s="8" t="s">
        <v>1021</v>
      </c>
      <c r="E744" s="8" t="s">
        <v>1734</v>
      </c>
      <c r="F744" s="8" t="s">
        <v>2343</v>
      </c>
      <c r="G744" s="8" t="s">
        <v>2406</v>
      </c>
      <c r="H744" s="8" t="s">
        <v>2409</v>
      </c>
      <c r="I744" s="8" t="s">
        <v>2410</v>
      </c>
      <c r="J744" s="16" t="s">
        <v>3891</v>
      </c>
      <c r="K744" s="16">
        <v>10447</v>
      </c>
      <c r="L744" s="8" t="s">
        <v>2422</v>
      </c>
      <c r="M744" s="8" t="s">
        <v>3137</v>
      </c>
      <c r="N744" s="8" t="s">
        <v>3371</v>
      </c>
      <c r="O744" s="8" t="s">
        <v>3374</v>
      </c>
      <c r="P744" s="8" t="s">
        <v>3748</v>
      </c>
      <c r="Q744" s="8">
        <v>283.14999999999998</v>
      </c>
      <c r="R744" s="16">
        <v>5</v>
      </c>
      <c r="S744" s="21">
        <v>0.32</v>
      </c>
      <c r="T744" s="16">
        <v>122.61</v>
      </c>
    </row>
    <row r="745" spans="1:20" x14ac:dyDescent="0.3">
      <c r="A745" s="5" t="s">
        <v>763</v>
      </c>
      <c r="B745" s="12">
        <v>43915.399398148147</v>
      </c>
      <c r="C745" s="12">
        <v>43916.399399399401</v>
      </c>
      <c r="D745" s="6" t="s">
        <v>1022</v>
      </c>
      <c r="E745" s="6" t="s">
        <v>1735</v>
      </c>
      <c r="F745" s="6" t="s">
        <v>2087</v>
      </c>
      <c r="G745" s="6" t="s">
        <v>2406</v>
      </c>
      <c r="H745" s="6" t="s">
        <v>2409</v>
      </c>
      <c r="I745" s="6" t="s">
        <v>2410</v>
      </c>
      <c r="J745" s="15" t="s">
        <v>3893</v>
      </c>
      <c r="K745" s="15">
        <v>91314</v>
      </c>
      <c r="L745" s="6" t="s">
        <v>2421</v>
      </c>
      <c r="M745" s="6" t="s">
        <v>3138</v>
      </c>
      <c r="N745" s="6" t="s">
        <v>3373</v>
      </c>
      <c r="O745" s="6" t="s">
        <v>3381</v>
      </c>
      <c r="P745" s="6" t="s">
        <v>3808</v>
      </c>
      <c r="Q745" s="6">
        <v>2339.2600000000002</v>
      </c>
      <c r="R745" s="15">
        <v>7</v>
      </c>
      <c r="S745" s="20">
        <v>0.5</v>
      </c>
      <c r="T745" s="15">
        <v>292.48</v>
      </c>
    </row>
    <row r="746" spans="1:20" x14ac:dyDescent="0.3">
      <c r="A746" s="7" t="s">
        <v>764</v>
      </c>
      <c r="B746" s="13">
        <v>43916.495497685188</v>
      </c>
      <c r="C746" s="13">
        <v>43918.495495495488</v>
      </c>
      <c r="D746" s="8" t="s">
        <v>1021</v>
      </c>
      <c r="E746" s="8" t="s">
        <v>1736</v>
      </c>
      <c r="F746" s="8" t="s">
        <v>1998</v>
      </c>
      <c r="G746" s="8" t="s">
        <v>2407</v>
      </c>
      <c r="H746" s="8" t="s">
        <v>2409</v>
      </c>
      <c r="I746" s="8" t="s">
        <v>2410</v>
      </c>
      <c r="J746" s="16" t="s">
        <v>3898</v>
      </c>
      <c r="K746" s="16">
        <v>34650</v>
      </c>
      <c r="L746" s="8" t="s">
        <v>2422</v>
      </c>
      <c r="M746" s="8" t="s">
        <v>3139</v>
      </c>
      <c r="N746" s="8" t="s">
        <v>3372</v>
      </c>
      <c r="O746" s="8" t="s">
        <v>3378</v>
      </c>
      <c r="P746" s="8" t="s">
        <v>3809</v>
      </c>
      <c r="Q746" s="8">
        <v>4423.92</v>
      </c>
      <c r="R746" s="16">
        <v>13</v>
      </c>
      <c r="S746" s="21">
        <v>0.38</v>
      </c>
      <c r="T746" s="16">
        <v>-267.11</v>
      </c>
    </row>
    <row r="747" spans="1:20" x14ac:dyDescent="0.3">
      <c r="A747" s="5" t="s">
        <v>765</v>
      </c>
      <c r="B747" s="12">
        <v>43917.591597222221</v>
      </c>
      <c r="C747" s="12">
        <v>43918.591591591583</v>
      </c>
      <c r="D747" s="6" t="s">
        <v>1020</v>
      </c>
      <c r="E747" s="6" t="s">
        <v>1737</v>
      </c>
      <c r="F747" s="6" t="s">
        <v>2361</v>
      </c>
      <c r="G747" s="6" t="s">
        <v>2407</v>
      </c>
      <c r="H747" s="6" t="s">
        <v>2409</v>
      </c>
      <c r="I747" s="6" t="s">
        <v>2413</v>
      </c>
      <c r="J747" s="15" t="s">
        <v>3896</v>
      </c>
      <c r="K747" s="15">
        <v>52316</v>
      </c>
      <c r="L747" s="6" t="s">
        <v>2420</v>
      </c>
      <c r="M747" s="6" t="s">
        <v>2590</v>
      </c>
      <c r="N747" s="6" t="s">
        <v>3373</v>
      </c>
      <c r="O747" s="6" t="s">
        <v>3385</v>
      </c>
      <c r="P747" s="6" t="s">
        <v>3810</v>
      </c>
      <c r="Q747" s="6">
        <v>3393.72</v>
      </c>
      <c r="R747" s="15">
        <v>6</v>
      </c>
      <c r="S747" s="20">
        <v>0.17</v>
      </c>
      <c r="T747" s="15">
        <v>1246.0999999999999</v>
      </c>
    </row>
    <row r="748" spans="1:20" x14ac:dyDescent="0.3">
      <c r="A748" s="7" t="s">
        <v>766</v>
      </c>
      <c r="B748" s="13">
        <v>43918.687685185185</v>
      </c>
      <c r="C748" s="13">
        <v>43922.687687687678</v>
      </c>
      <c r="D748" s="8" t="s">
        <v>1021</v>
      </c>
      <c r="E748" s="8" t="s">
        <v>1738</v>
      </c>
      <c r="F748" s="8" t="s">
        <v>2362</v>
      </c>
      <c r="G748" s="8" t="s">
        <v>2408</v>
      </c>
      <c r="H748" s="8" t="s">
        <v>2409</v>
      </c>
      <c r="I748" s="8" t="s">
        <v>2415</v>
      </c>
      <c r="J748" s="16" t="s">
        <v>3893</v>
      </c>
      <c r="K748" s="16">
        <v>75855</v>
      </c>
      <c r="L748" s="8" t="s">
        <v>2422</v>
      </c>
      <c r="M748" s="8" t="s">
        <v>2919</v>
      </c>
      <c r="N748" s="8" t="s">
        <v>3373</v>
      </c>
      <c r="O748" s="8" t="s">
        <v>3380</v>
      </c>
      <c r="P748" s="8" t="s">
        <v>3558</v>
      </c>
      <c r="Q748" s="8">
        <v>4663.6000000000004</v>
      </c>
      <c r="R748" s="16">
        <v>8</v>
      </c>
      <c r="S748" s="21">
        <v>0.88</v>
      </c>
      <c r="T748" s="16">
        <v>976.44</v>
      </c>
    </row>
    <row r="749" spans="1:20" x14ac:dyDescent="0.3">
      <c r="A749" s="5" t="s">
        <v>767</v>
      </c>
      <c r="B749" s="12">
        <v>43919.783784722225</v>
      </c>
      <c r="C749" s="12">
        <v>43922.783783783772</v>
      </c>
      <c r="D749" s="6" t="s">
        <v>1023</v>
      </c>
      <c r="E749" s="6" t="s">
        <v>1739</v>
      </c>
      <c r="F749" s="6" t="s">
        <v>2363</v>
      </c>
      <c r="G749" s="6" t="s">
        <v>2408</v>
      </c>
      <c r="H749" s="6" t="s">
        <v>2409</v>
      </c>
      <c r="I749" s="6" t="s">
        <v>2417</v>
      </c>
      <c r="J749" s="15" t="s">
        <v>3896</v>
      </c>
      <c r="K749" s="15">
        <v>69735</v>
      </c>
      <c r="L749" s="6" t="s">
        <v>2419</v>
      </c>
      <c r="M749" s="6" t="s">
        <v>3140</v>
      </c>
      <c r="N749" s="6" t="s">
        <v>3373</v>
      </c>
      <c r="O749" s="6" t="s">
        <v>3380</v>
      </c>
      <c r="P749" s="6" t="s">
        <v>3811</v>
      </c>
      <c r="Q749" s="6">
        <v>1146.57</v>
      </c>
      <c r="R749" s="15">
        <v>14</v>
      </c>
      <c r="S749" s="20">
        <v>0.74</v>
      </c>
      <c r="T749" s="15">
        <v>194.47</v>
      </c>
    </row>
    <row r="750" spans="1:20" x14ac:dyDescent="0.3">
      <c r="A750" s="7" t="s">
        <v>768</v>
      </c>
      <c r="B750" s="13">
        <v>43920.879884259259</v>
      </c>
      <c r="C750" s="13">
        <v>43921.879879879867</v>
      </c>
      <c r="D750" s="8" t="s">
        <v>1022</v>
      </c>
      <c r="E750" s="8" t="s">
        <v>1740</v>
      </c>
      <c r="F750" s="8" t="s">
        <v>2364</v>
      </c>
      <c r="G750" s="8" t="s">
        <v>2408</v>
      </c>
      <c r="H750" s="8" t="s">
        <v>2409</v>
      </c>
      <c r="I750" s="8" t="s">
        <v>2417</v>
      </c>
      <c r="J750" s="16" t="s">
        <v>3892</v>
      </c>
      <c r="K750" s="16">
        <v>12640</v>
      </c>
      <c r="L750" s="8" t="s">
        <v>2419</v>
      </c>
      <c r="M750" s="8" t="s">
        <v>3141</v>
      </c>
      <c r="N750" s="8" t="s">
        <v>3373</v>
      </c>
      <c r="O750" s="8" t="s">
        <v>3379</v>
      </c>
      <c r="P750" s="8" t="s">
        <v>3578</v>
      </c>
      <c r="Q750" s="8">
        <v>4336.8500000000004</v>
      </c>
      <c r="R750" s="16">
        <v>1</v>
      </c>
      <c r="S750" s="21">
        <v>0.18</v>
      </c>
      <c r="T750" s="16">
        <v>1530.01</v>
      </c>
    </row>
    <row r="751" spans="1:20" x14ac:dyDescent="0.3">
      <c r="A751" s="5" t="s">
        <v>769</v>
      </c>
      <c r="B751" s="12">
        <v>43921.975972222222</v>
      </c>
      <c r="C751" s="12">
        <v>43925.975975975969</v>
      </c>
      <c r="D751" s="6" t="s">
        <v>1022</v>
      </c>
      <c r="E751" s="6" t="s">
        <v>1741</v>
      </c>
      <c r="F751" s="6" t="s">
        <v>2365</v>
      </c>
      <c r="G751" s="6" t="s">
        <v>2407</v>
      </c>
      <c r="H751" s="6" t="s">
        <v>2409</v>
      </c>
      <c r="I751" s="6" t="s">
        <v>2414</v>
      </c>
      <c r="J751" s="15" t="s">
        <v>3894</v>
      </c>
      <c r="K751" s="15">
        <v>35022</v>
      </c>
      <c r="L751" s="6" t="s">
        <v>2420</v>
      </c>
      <c r="M751" s="6" t="s">
        <v>3142</v>
      </c>
      <c r="N751" s="6" t="s">
        <v>3371</v>
      </c>
      <c r="O751" s="6" t="s">
        <v>3374</v>
      </c>
      <c r="P751" s="6" t="s">
        <v>3739</v>
      </c>
      <c r="Q751" s="6">
        <v>3922.6</v>
      </c>
      <c r="R751" s="15">
        <v>6</v>
      </c>
      <c r="S751" s="20">
        <v>0.62</v>
      </c>
      <c r="T751" s="15">
        <v>-270.36</v>
      </c>
    </row>
    <row r="752" spans="1:20" x14ac:dyDescent="0.3">
      <c r="A752" s="7" t="s">
        <v>770</v>
      </c>
      <c r="B752" s="13">
        <v>43923.072071759256</v>
      </c>
      <c r="C752" s="13">
        <v>43929.072072072071</v>
      </c>
      <c r="D752" s="8" t="s">
        <v>1021</v>
      </c>
      <c r="E752" s="8" t="s">
        <v>1742</v>
      </c>
      <c r="F752" s="8" t="s">
        <v>2366</v>
      </c>
      <c r="G752" s="8" t="s">
        <v>2407</v>
      </c>
      <c r="H752" s="8" t="s">
        <v>2409</v>
      </c>
      <c r="I752" s="8" t="s">
        <v>2410</v>
      </c>
      <c r="J752" s="16" t="s">
        <v>3893</v>
      </c>
      <c r="K752" s="16">
        <v>63061</v>
      </c>
      <c r="L752" s="8" t="s">
        <v>2422</v>
      </c>
      <c r="M752" s="8" t="s">
        <v>3143</v>
      </c>
      <c r="N752" s="8" t="s">
        <v>3373</v>
      </c>
      <c r="O752" s="8" t="s">
        <v>3381</v>
      </c>
      <c r="P752" s="8" t="s">
        <v>3753</v>
      </c>
      <c r="Q752" s="8">
        <v>1200.26</v>
      </c>
      <c r="R752" s="16">
        <v>4</v>
      </c>
      <c r="S752" s="21">
        <v>0.15</v>
      </c>
      <c r="T752" s="16">
        <v>-70.67</v>
      </c>
    </row>
    <row r="753" spans="1:20" x14ac:dyDescent="0.3">
      <c r="A753" s="5" t="s">
        <v>771</v>
      </c>
      <c r="B753" s="12">
        <v>43924.168171296296</v>
      </c>
      <c r="C753" s="12">
        <v>43930.168168168158</v>
      </c>
      <c r="D753" s="6" t="s">
        <v>1022</v>
      </c>
      <c r="E753" s="6" t="s">
        <v>1743</v>
      </c>
      <c r="F753" s="6" t="s">
        <v>2239</v>
      </c>
      <c r="G753" s="6" t="s">
        <v>2408</v>
      </c>
      <c r="H753" s="6" t="s">
        <v>2409</v>
      </c>
      <c r="I753" s="6" t="s">
        <v>2410</v>
      </c>
      <c r="J753" s="15" t="s">
        <v>3892</v>
      </c>
      <c r="K753" s="15">
        <v>61426</v>
      </c>
      <c r="L753" s="6" t="s">
        <v>2421</v>
      </c>
      <c r="M753" s="6" t="s">
        <v>3144</v>
      </c>
      <c r="N753" s="6" t="s">
        <v>3371</v>
      </c>
      <c r="O753" s="6" t="s">
        <v>3374</v>
      </c>
      <c r="P753" s="6" t="s">
        <v>3745</v>
      </c>
      <c r="Q753" s="6">
        <v>2768.91</v>
      </c>
      <c r="R753" s="15">
        <v>13</v>
      </c>
      <c r="S753" s="20">
        <v>0.67</v>
      </c>
      <c r="T753" s="15">
        <v>177.78</v>
      </c>
    </row>
    <row r="754" spans="1:20" x14ac:dyDescent="0.3">
      <c r="A754" s="7" t="s">
        <v>772</v>
      </c>
      <c r="B754" s="13">
        <v>43925.26425925926</v>
      </c>
      <c r="C754" s="13">
        <v>43926.26426426426</v>
      </c>
      <c r="D754" s="8" t="s">
        <v>1020</v>
      </c>
      <c r="E754" s="8" t="s">
        <v>1744</v>
      </c>
      <c r="F754" s="8" t="s">
        <v>1981</v>
      </c>
      <c r="G754" s="8" t="s">
        <v>2408</v>
      </c>
      <c r="H754" s="8" t="s">
        <v>2409</v>
      </c>
      <c r="I754" s="8" t="s">
        <v>2412</v>
      </c>
      <c r="J754" s="16" t="s">
        <v>3893</v>
      </c>
      <c r="K754" s="16">
        <v>42737</v>
      </c>
      <c r="L754" s="8" t="s">
        <v>2420</v>
      </c>
      <c r="M754" s="8" t="s">
        <v>3145</v>
      </c>
      <c r="N754" s="8" t="s">
        <v>3371</v>
      </c>
      <c r="O754" s="8" t="s">
        <v>3375</v>
      </c>
      <c r="P754" s="8" t="s">
        <v>3544</v>
      </c>
      <c r="Q754" s="8">
        <v>4111.3599999999997</v>
      </c>
      <c r="R754" s="16">
        <v>11</v>
      </c>
      <c r="S754" s="21">
        <v>0.15</v>
      </c>
      <c r="T754" s="16">
        <v>-648.13</v>
      </c>
    </row>
    <row r="755" spans="1:20" x14ac:dyDescent="0.3">
      <c r="A755" s="5" t="s">
        <v>773</v>
      </c>
      <c r="B755" s="12">
        <v>43926.360358796293</v>
      </c>
      <c r="C755" s="12">
        <v>43928.360360360362</v>
      </c>
      <c r="D755" s="6" t="s">
        <v>1022</v>
      </c>
      <c r="E755" s="6" t="s">
        <v>1745</v>
      </c>
      <c r="F755" s="6" t="s">
        <v>2147</v>
      </c>
      <c r="G755" s="6" t="s">
        <v>2406</v>
      </c>
      <c r="H755" s="6" t="s">
        <v>2409</v>
      </c>
      <c r="I755" s="6" t="s">
        <v>2410</v>
      </c>
      <c r="J755" s="15" t="s">
        <v>3893</v>
      </c>
      <c r="K755" s="15">
        <v>71844</v>
      </c>
      <c r="L755" s="6" t="s">
        <v>2420</v>
      </c>
      <c r="M755" s="6" t="s">
        <v>3146</v>
      </c>
      <c r="N755" s="6" t="s">
        <v>3372</v>
      </c>
      <c r="O755" s="6" t="s">
        <v>3376</v>
      </c>
      <c r="P755" s="6" t="s">
        <v>3808</v>
      </c>
      <c r="Q755" s="6">
        <v>2021.99</v>
      </c>
      <c r="R755" s="15">
        <v>10</v>
      </c>
      <c r="S755" s="20">
        <v>0.64</v>
      </c>
      <c r="T755" s="15">
        <v>-371.66</v>
      </c>
    </row>
    <row r="756" spans="1:20" x14ac:dyDescent="0.3">
      <c r="A756" s="7" t="s">
        <v>774</v>
      </c>
      <c r="B756" s="13">
        <v>43927.456458333334</v>
      </c>
      <c r="C756" s="13">
        <v>43933.45645645645</v>
      </c>
      <c r="D756" s="8" t="s">
        <v>1023</v>
      </c>
      <c r="E756" s="8" t="s">
        <v>1746</v>
      </c>
      <c r="F756" s="8" t="s">
        <v>2367</v>
      </c>
      <c r="G756" s="8" t="s">
        <v>2408</v>
      </c>
      <c r="H756" s="8" t="s">
        <v>2409</v>
      </c>
      <c r="I756" s="8" t="s">
        <v>2411</v>
      </c>
      <c r="J756" s="16" t="s">
        <v>3893</v>
      </c>
      <c r="K756" s="16">
        <v>83367</v>
      </c>
      <c r="L756" s="8" t="s">
        <v>2421</v>
      </c>
      <c r="M756" s="8" t="s">
        <v>3147</v>
      </c>
      <c r="N756" s="8" t="s">
        <v>3373</v>
      </c>
      <c r="O756" s="8" t="s">
        <v>3381</v>
      </c>
      <c r="P756" s="8" t="s">
        <v>3519</v>
      </c>
      <c r="Q756" s="8">
        <v>4146.58</v>
      </c>
      <c r="R756" s="16">
        <v>2</v>
      </c>
      <c r="S756" s="21">
        <v>0.04</v>
      </c>
      <c r="T756" s="16">
        <v>-560.55999999999995</v>
      </c>
    </row>
    <row r="757" spans="1:20" x14ac:dyDescent="0.3">
      <c r="A757" s="5" t="s">
        <v>775</v>
      </c>
      <c r="B757" s="12">
        <v>43928.552557870367</v>
      </c>
      <c r="C757" s="12">
        <v>43933.552552552537</v>
      </c>
      <c r="D757" s="6" t="s">
        <v>1022</v>
      </c>
      <c r="E757" s="6" t="s">
        <v>1156</v>
      </c>
      <c r="F757" s="6" t="s">
        <v>2326</v>
      </c>
      <c r="G757" s="6" t="s">
        <v>2407</v>
      </c>
      <c r="H757" s="6" t="s">
        <v>2409</v>
      </c>
      <c r="I757" s="6" t="s">
        <v>2411</v>
      </c>
      <c r="J757" s="15" t="s">
        <v>3898</v>
      </c>
      <c r="K757" s="15">
        <v>68623</v>
      </c>
      <c r="L757" s="6" t="s">
        <v>2420</v>
      </c>
      <c r="M757" s="6" t="s">
        <v>2478</v>
      </c>
      <c r="N757" s="6" t="s">
        <v>3372</v>
      </c>
      <c r="O757" s="6" t="s">
        <v>3384</v>
      </c>
      <c r="P757" s="6" t="s">
        <v>3493</v>
      </c>
      <c r="Q757" s="6">
        <v>3867.34</v>
      </c>
      <c r="R757" s="15">
        <v>14</v>
      </c>
      <c r="S757" s="20">
        <v>0.45</v>
      </c>
      <c r="T757" s="15">
        <v>1652.47</v>
      </c>
    </row>
    <row r="758" spans="1:20" x14ac:dyDescent="0.3">
      <c r="A758" s="7" t="s">
        <v>776</v>
      </c>
      <c r="B758" s="13">
        <v>43929.648645833331</v>
      </c>
      <c r="C758" s="13">
        <v>43935.648648648646</v>
      </c>
      <c r="D758" s="8" t="s">
        <v>1023</v>
      </c>
      <c r="E758" s="8" t="s">
        <v>1747</v>
      </c>
      <c r="F758" s="8" t="s">
        <v>2368</v>
      </c>
      <c r="G758" s="8" t="s">
        <v>2408</v>
      </c>
      <c r="H758" s="8" t="s">
        <v>2409</v>
      </c>
      <c r="I758" s="8" t="s">
        <v>2418</v>
      </c>
      <c r="J758" s="16" t="s">
        <v>3893</v>
      </c>
      <c r="K758" s="16">
        <v>15001</v>
      </c>
      <c r="L758" s="8" t="s">
        <v>2422</v>
      </c>
      <c r="M758" s="8" t="s">
        <v>3148</v>
      </c>
      <c r="N758" s="8" t="s">
        <v>3372</v>
      </c>
      <c r="O758" s="8" t="s">
        <v>3384</v>
      </c>
      <c r="P758" s="8" t="s">
        <v>3812</v>
      </c>
      <c r="Q758" s="8">
        <v>4280.62</v>
      </c>
      <c r="R758" s="16">
        <v>11</v>
      </c>
      <c r="S758" s="21">
        <v>0.88</v>
      </c>
      <c r="T758" s="16">
        <v>1597.1</v>
      </c>
    </row>
    <row r="759" spans="1:20" x14ac:dyDescent="0.3">
      <c r="A759" s="5" t="s">
        <v>777</v>
      </c>
      <c r="B759" s="12">
        <v>43930.744745370372</v>
      </c>
      <c r="C759" s="12">
        <v>43934.744744744727</v>
      </c>
      <c r="D759" s="6" t="s">
        <v>1021</v>
      </c>
      <c r="E759" s="6" t="s">
        <v>1748</v>
      </c>
      <c r="F759" s="6" t="s">
        <v>2283</v>
      </c>
      <c r="G759" s="6" t="s">
        <v>2406</v>
      </c>
      <c r="H759" s="6" t="s">
        <v>2409</v>
      </c>
      <c r="I759" s="6" t="s">
        <v>2413</v>
      </c>
      <c r="J759" s="15" t="s">
        <v>3897</v>
      </c>
      <c r="K759" s="15">
        <v>79855</v>
      </c>
      <c r="L759" s="6" t="s">
        <v>2419</v>
      </c>
      <c r="M759" s="6" t="s">
        <v>3149</v>
      </c>
      <c r="N759" s="6" t="s">
        <v>3371</v>
      </c>
      <c r="O759" s="6" t="s">
        <v>3382</v>
      </c>
      <c r="P759" s="6" t="s">
        <v>3459</v>
      </c>
      <c r="Q759" s="6">
        <v>778.97</v>
      </c>
      <c r="R759" s="15">
        <v>4</v>
      </c>
      <c r="S759" s="20">
        <v>0.65</v>
      </c>
      <c r="T759" s="15">
        <v>300.64999999999998</v>
      </c>
    </row>
    <row r="760" spans="1:20" x14ac:dyDescent="0.3">
      <c r="A760" s="7" t="s">
        <v>778</v>
      </c>
      <c r="B760" s="13">
        <v>43931.840844907405</v>
      </c>
      <c r="C760" s="13">
        <v>43933.840840840843</v>
      </c>
      <c r="D760" s="8" t="s">
        <v>1021</v>
      </c>
      <c r="E760" s="8" t="s">
        <v>1749</v>
      </c>
      <c r="F760" s="8" t="s">
        <v>2369</v>
      </c>
      <c r="G760" s="8" t="s">
        <v>2406</v>
      </c>
      <c r="H760" s="8" t="s">
        <v>2409</v>
      </c>
      <c r="I760" s="8" t="s">
        <v>2417</v>
      </c>
      <c r="J760" s="16" t="s">
        <v>3891</v>
      </c>
      <c r="K760" s="16">
        <v>91927</v>
      </c>
      <c r="L760" s="8" t="s">
        <v>2422</v>
      </c>
      <c r="M760" s="8" t="s">
        <v>2517</v>
      </c>
      <c r="N760" s="8" t="s">
        <v>3372</v>
      </c>
      <c r="O760" s="8" t="s">
        <v>3377</v>
      </c>
      <c r="P760" s="8" t="s">
        <v>3408</v>
      </c>
      <c r="Q760" s="8">
        <v>562.54</v>
      </c>
      <c r="R760" s="16">
        <v>14</v>
      </c>
      <c r="S760" s="21">
        <v>0.26</v>
      </c>
      <c r="T760" s="16">
        <v>46.02</v>
      </c>
    </row>
    <row r="761" spans="1:20" x14ac:dyDescent="0.3">
      <c r="A761" s="5" t="s">
        <v>779</v>
      </c>
      <c r="B761" s="12">
        <v>43932.936932870369</v>
      </c>
      <c r="C761" s="12">
        <v>43936.936936936931</v>
      </c>
      <c r="D761" s="6" t="s">
        <v>1020</v>
      </c>
      <c r="E761" s="6" t="s">
        <v>1750</v>
      </c>
      <c r="F761" s="6" t="s">
        <v>1993</v>
      </c>
      <c r="G761" s="6" t="s">
        <v>2408</v>
      </c>
      <c r="H761" s="6" t="s">
        <v>2409</v>
      </c>
      <c r="I761" s="6" t="s">
        <v>2414</v>
      </c>
      <c r="J761" s="15" t="s">
        <v>3896</v>
      </c>
      <c r="K761" s="15">
        <v>49405</v>
      </c>
      <c r="L761" s="6" t="s">
        <v>2419</v>
      </c>
      <c r="M761" s="6" t="s">
        <v>3150</v>
      </c>
      <c r="N761" s="6" t="s">
        <v>3372</v>
      </c>
      <c r="O761" s="6" t="s">
        <v>3377</v>
      </c>
      <c r="P761" s="6" t="s">
        <v>3813</v>
      </c>
      <c r="Q761" s="6">
        <v>3264.2</v>
      </c>
      <c r="R761" s="15">
        <v>13</v>
      </c>
      <c r="S761" s="20">
        <v>0.34</v>
      </c>
      <c r="T761" s="15">
        <v>-102.1</v>
      </c>
    </row>
    <row r="762" spans="1:20" x14ac:dyDescent="0.3">
      <c r="A762" s="7" t="s">
        <v>780</v>
      </c>
      <c r="B762" s="13">
        <v>43934.033032407409</v>
      </c>
      <c r="C762" s="13">
        <v>43940.033033033033</v>
      </c>
      <c r="D762" s="8" t="s">
        <v>1023</v>
      </c>
      <c r="E762" s="8" t="s">
        <v>1751</v>
      </c>
      <c r="F762" s="8" t="s">
        <v>1993</v>
      </c>
      <c r="G762" s="8" t="s">
        <v>2407</v>
      </c>
      <c r="H762" s="8" t="s">
        <v>2409</v>
      </c>
      <c r="I762" s="8" t="s">
        <v>2415</v>
      </c>
      <c r="J762" s="16" t="s">
        <v>3897</v>
      </c>
      <c r="K762" s="16">
        <v>94734</v>
      </c>
      <c r="L762" s="8" t="s">
        <v>2422</v>
      </c>
      <c r="M762" s="8" t="s">
        <v>3151</v>
      </c>
      <c r="N762" s="8" t="s">
        <v>3371</v>
      </c>
      <c r="O762" s="8" t="s">
        <v>3374</v>
      </c>
      <c r="P762" s="8" t="s">
        <v>3814</v>
      </c>
      <c r="Q762" s="8">
        <v>3350.63</v>
      </c>
      <c r="R762" s="16">
        <v>11</v>
      </c>
      <c r="S762" s="21">
        <v>0.27</v>
      </c>
      <c r="T762" s="16">
        <v>580.28</v>
      </c>
    </row>
    <row r="763" spans="1:20" x14ac:dyDescent="0.3">
      <c r="A763" s="5" t="s">
        <v>781</v>
      </c>
      <c r="B763" s="12">
        <v>43935.129131944443</v>
      </c>
      <c r="C763" s="12">
        <v>43939.12912912912</v>
      </c>
      <c r="D763" s="6" t="s">
        <v>1020</v>
      </c>
      <c r="E763" s="6" t="s">
        <v>1752</v>
      </c>
      <c r="F763" s="6" t="s">
        <v>2162</v>
      </c>
      <c r="G763" s="6" t="s">
        <v>2406</v>
      </c>
      <c r="H763" s="6" t="s">
        <v>2409</v>
      </c>
      <c r="I763" s="6" t="s">
        <v>2412</v>
      </c>
      <c r="J763" s="15" t="s">
        <v>3895</v>
      </c>
      <c r="K763" s="15">
        <v>26539</v>
      </c>
      <c r="L763" s="6" t="s">
        <v>2421</v>
      </c>
      <c r="M763" s="6" t="s">
        <v>3152</v>
      </c>
      <c r="N763" s="6" t="s">
        <v>3373</v>
      </c>
      <c r="O763" s="6" t="s">
        <v>3379</v>
      </c>
      <c r="P763" s="6" t="s">
        <v>3511</v>
      </c>
      <c r="Q763" s="6">
        <v>1903.81</v>
      </c>
      <c r="R763" s="15">
        <v>4</v>
      </c>
      <c r="S763" s="20">
        <v>0.03</v>
      </c>
      <c r="T763" s="15">
        <v>-370.81</v>
      </c>
    </row>
    <row r="764" spans="1:20" x14ac:dyDescent="0.3">
      <c r="A764" s="7" t="s">
        <v>782</v>
      </c>
      <c r="B764" s="13">
        <v>43936.225219907406</v>
      </c>
      <c r="C764" s="13">
        <v>43937.225225225222</v>
      </c>
      <c r="D764" s="8" t="s">
        <v>1022</v>
      </c>
      <c r="E764" s="8" t="s">
        <v>1753</v>
      </c>
      <c r="F764" s="8" t="s">
        <v>2370</v>
      </c>
      <c r="G764" s="8" t="s">
        <v>2406</v>
      </c>
      <c r="H764" s="8" t="s">
        <v>2409</v>
      </c>
      <c r="I764" s="8" t="s">
        <v>2413</v>
      </c>
      <c r="J764" s="16" t="s">
        <v>3897</v>
      </c>
      <c r="K764" s="16">
        <v>69376</v>
      </c>
      <c r="L764" s="8" t="s">
        <v>2421</v>
      </c>
      <c r="M764" s="8" t="s">
        <v>3153</v>
      </c>
      <c r="N764" s="8" t="s">
        <v>3372</v>
      </c>
      <c r="O764" s="8" t="s">
        <v>3384</v>
      </c>
      <c r="P764" s="8" t="s">
        <v>3489</v>
      </c>
      <c r="Q764" s="8">
        <v>4894.38</v>
      </c>
      <c r="R764" s="16">
        <v>14</v>
      </c>
      <c r="S764" s="21">
        <v>0.67</v>
      </c>
      <c r="T764" s="16">
        <v>2462.63</v>
      </c>
    </row>
    <row r="765" spans="1:20" x14ac:dyDescent="0.3">
      <c r="A765" s="5" t="s">
        <v>783</v>
      </c>
      <c r="B765" s="12">
        <v>43937.321319444447</v>
      </c>
      <c r="C765" s="12">
        <v>43942.321321321317</v>
      </c>
      <c r="D765" s="6" t="s">
        <v>1021</v>
      </c>
      <c r="E765" s="6" t="s">
        <v>1754</v>
      </c>
      <c r="F765" s="6" t="s">
        <v>2107</v>
      </c>
      <c r="G765" s="6" t="s">
        <v>2407</v>
      </c>
      <c r="H765" s="6" t="s">
        <v>2409</v>
      </c>
      <c r="I765" s="6" t="s">
        <v>2412</v>
      </c>
      <c r="J765" s="15" t="s">
        <v>3893</v>
      </c>
      <c r="K765" s="15">
        <v>73032</v>
      </c>
      <c r="L765" s="6" t="s">
        <v>2421</v>
      </c>
      <c r="M765" s="6" t="s">
        <v>3154</v>
      </c>
      <c r="N765" s="6" t="s">
        <v>3373</v>
      </c>
      <c r="O765" s="6" t="s">
        <v>3381</v>
      </c>
      <c r="P765" s="6" t="s">
        <v>3789</v>
      </c>
      <c r="Q765" s="6">
        <v>3796.7</v>
      </c>
      <c r="R765" s="15">
        <v>13</v>
      </c>
      <c r="S765" s="20">
        <v>0.49</v>
      </c>
      <c r="T765" s="15">
        <v>-49.67</v>
      </c>
    </row>
    <row r="766" spans="1:20" x14ac:dyDescent="0.3">
      <c r="A766" s="7" t="s">
        <v>784</v>
      </c>
      <c r="B766" s="13">
        <v>43938.41741898148</v>
      </c>
      <c r="C766" s="13">
        <v>43939.417417417397</v>
      </c>
      <c r="D766" s="8" t="s">
        <v>1021</v>
      </c>
      <c r="E766" s="8" t="s">
        <v>1755</v>
      </c>
      <c r="F766" s="8" t="s">
        <v>2118</v>
      </c>
      <c r="G766" s="8" t="s">
        <v>2406</v>
      </c>
      <c r="H766" s="8" t="s">
        <v>2409</v>
      </c>
      <c r="I766" s="8" t="s">
        <v>2417</v>
      </c>
      <c r="J766" s="16" t="s">
        <v>3898</v>
      </c>
      <c r="K766" s="16">
        <v>65714</v>
      </c>
      <c r="L766" s="8" t="s">
        <v>2421</v>
      </c>
      <c r="M766" s="8" t="s">
        <v>3155</v>
      </c>
      <c r="N766" s="8" t="s">
        <v>3373</v>
      </c>
      <c r="O766" s="8" t="s">
        <v>3380</v>
      </c>
      <c r="P766" s="8" t="s">
        <v>3574</v>
      </c>
      <c r="Q766" s="8">
        <v>3124.79</v>
      </c>
      <c r="R766" s="16">
        <v>13</v>
      </c>
      <c r="S766" s="21">
        <v>0.49</v>
      </c>
      <c r="T766" s="16">
        <v>-540.21</v>
      </c>
    </row>
    <row r="767" spans="1:20" x14ac:dyDescent="0.3">
      <c r="A767" s="5" t="s">
        <v>785</v>
      </c>
      <c r="B767" s="12">
        <v>43939.513518518521</v>
      </c>
      <c r="C767" s="12">
        <v>43940.513513513513</v>
      </c>
      <c r="D767" s="6" t="s">
        <v>1023</v>
      </c>
      <c r="E767" s="6" t="s">
        <v>1756</v>
      </c>
      <c r="F767" s="6" t="s">
        <v>2297</v>
      </c>
      <c r="G767" s="6" t="s">
        <v>2407</v>
      </c>
      <c r="H767" s="6" t="s">
        <v>2409</v>
      </c>
      <c r="I767" s="6" t="s">
        <v>2415</v>
      </c>
      <c r="J767" s="15" t="s">
        <v>3898</v>
      </c>
      <c r="K767" s="15">
        <v>12137</v>
      </c>
      <c r="L767" s="6" t="s">
        <v>2420</v>
      </c>
      <c r="M767" s="6" t="s">
        <v>3156</v>
      </c>
      <c r="N767" s="6" t="s">
        <v>3372</v>
      </c>
      <c r="O767" s="6" t="s">
        <v>3377</v>
      </c>
      <c r="P767" s="6" t="s">
        <v>3815</v>
      </c>
      <c r="Q767" s="6">
        <v>624.30999999999995</v>
      </c>
      <c r="R767" s="15">
        <v>13</v>
      </c>
      <c r="S767" s="20">
        <v>0.1</v>
      </c>
      <c r="T767" s="15">
        <v>-116.37</v>
      </c>
    </row>
    <row r="768" spans="1:20" x14ac:dyDescent="0.3">
      <c r="A768" s="7" t="s">
        <v>786</v>
      </c>
      <c r="B768" s="13">
        <v>43940.609606481485</v>
      </c>
      <c r="C768" s="13">
        <v>43941.609609609608</v>
      </c>
      <c r="D768" s="8" t="s">
        <v>1020</v>
      </c>
      <c r="E768" s="8" t="s">
        <v>1757</v>
      </c>
      <c r="F768" s="8" t="s">
        <v>2006</v>
      </c>
      <c r="G768" s="8" t="s">
        <v>2407</v>
      </c>
      <c r="H768" s="8" t="s">
        <v>2409</v>
      </c>
      <c r="I768" s="8" t="s">
        <v>2415</v>
      </c>
      <c r="J768" s="16" t="s">
        <v>3896</v>
      </c>
      <c r="K768" s="16">
        <v>92690</v>
      </c>
      <c r="L768" s="8" t="s">
        <v>2419</v>
      </c>
      <c r="M768" s="8" t="s">
        <v>3157</v>
      </c>
      <c r="N768" s="8" t="s">
        <v>3372</v>
      </c>
      <c r="O768" s="8" t="s">
        <v>3376</v>
      </c>
      <c r="P768" s="8" t="s">
        <v>3759</v>
      </c>
      <c r="Q768" s="8">
        <v>4707.45</v>
      </c>
      <c r="R768" s="16">
        <v>5</v>
      </c>
      <c r="S768" s="21">
        <v>0.21</v>
      </c>
      <c r="T768" s="16">
        <v>-637.04999999999995</v>
      </c>
    </row>
    <row r="769" spans="1:20" x14ac:dyDescent="0.3">
      <c r="A769" s="5" t="s">
        <v>787</v>
      </c>
      <c r="B769" s="12">
        <v>43941.705706018518</v>
      </c>
      <c r="C769" s="12">
        <v>43943.705705705703</v>
      </c>
      <c r="D769" s="6" t="s">
        <v>1022</v>
      </c>
      <c r="E769" s="6" t="s">
        <v>1758</v>
      </c>
      <c r="F769" s="6" t="s">
        <v>2068</v>
      </c>
      <c r="G769" s="6" t="s">
        <v>2408</v>
      </c>
      <c r="H769" s="6" t="s">
        <v>2409</v>
      </c>
      <c r="I769" s="6" t="s">
        <v>2414</v>
      </c>
      <c r="J769" s="15" t="s">
        <v>3894</v>
      </c>
      <c r="K769" s="15">
        <v>15195</v>
      </c>
      <c r="L769" s="6" t="s">
        <v>2422</v>
      </c>
      <c r="M769" s="6" t="s">
        <v>3158</v>
      </c>
      <c r="N769" s="6" t="s">
        <v>3371</v>
      </c>
      <c r="O769" s="6" t="s">
        <v>3375</v>
      </c>
      <c r="P769" s="6" t="s">
        <v>3619</v>
      </c>
      <c r="Q769" s="6">
        <v>216.58</v>
      </c>
      <c r="R769" s="15">
        <v>14</v>
      </c>
      <c r="S769" s="20">
        <v>0.14000000000000001</v>
      </c>
      <c r="T769" s="15">
        <v>57.9</v>
      </c>
    </row>
    <row r="770" spans="1:20" x14ac:dyDescent="0.3">
      <c r="A770" s="7" t="s">
        <v>788</v>
      </c>
      <c r="B770" s="13">
        <v>43942.801805555559</v>
      </c>
      <c r="C770" s="13">
        <v>43943.801801801797</v>
      </c>
      <c r="D770" s="8" t="s">
        <v>1023</v>
      </c>
      <c r="E770" s="8" t="s">
        <v>1759</v>
      </c>
      <c r="F770" s="8" t="s">
        <v>2371</v>
      </c>
      <c r="G770" s="8" t="s">
        <v>2408</v>
      </c>
      <c r="H770" s="8" t="s">
        <v>2409</v>
      </c>
      <c r="I770" s="8" t="s">
        <v>2414</v>
      </c>
      <c r="J770" s="16" t="s">
        <v>3896</v>
      </c>
      <c r="K770" s="16">
        <v>48411</v>
      </c>
      <c r="L770" s="8" t="s">
        <v>2421</v>
      </c>
      <c r="M770" s="8" t="s">
        <v>3159</v>
      </c>
      <c r="N770" s="8" t="s">
        <v>3372</v>
      </c>
      <c r="O770" s="8" t="s">
        <v>3377</v>
      </c>
      <c r="P770" s="8" t="s">
        <v>3608</v>
      </c>
      <c r="Q770" s="8">
        <v>1520.68</v>
      </c>
      <c r="R770" s="16">
        <v>7</v>
      </c>
      <c r="S770" s="21">
        <v>0.56000000000000005</v>
      </c>
      <c r="T770" s="16">
        <v>19.27</v>
      </c>
    </row>
    <row r="771" spans="1:20" x14ac:dyDescent="0.3">
      <c r="A771" s="5" t="s">
        <v>789</v>
      </c>
      <c r="B771" s="12">
        <v>43943.897893518515</v>
      </c>
      <c r="C771" s="12">
        <v>43948.897897897892</v>
      </c>
      <c r="D771" s="6" t="s">
        <v>1020</v>
      </c>
      <c r="E771" s="6" t="s">
        <v>1760</v>
      </c>
      <c r="F771" s="6" t="s">
        <v>2125</v>
      </c>
      <c r="G771" s="6" t="s">
        <v>2406</v>
      </c>
      <c r="H771" s="6" t="s">
        <v>2409</v>
      </c>
      <c r="I771" s="6" t="s">
        <v>2411</v>
      </c>
      <c r="J771" s="15" t="s">
        <v>3892</v>
      </c>
      <c r="K771" s="15">
        <v>77960</v>
      </c>
      <c r="L771" s="6" t="s">
        <v>2421</v>
      </c>
      <c r="M771" s="6" t="s">
        <v>3160</v>
      </c>
      <c r="N771" s="6" t="s">
        <v>3371</v>
      </c>
      <c r="O771" s="6" t="s">
        <v>3374</v>
      </c>
      <c r="P771" s="6" t="s">
        <v>3546</v>
      </c>
      <c r="Q771" s="6">
        <v>3240.76</v>
      </c>
      <c r="R771" s="15">
        <v>7</v>
      </c>
      <c r="S771" s="20">
        <v>0.65</v>
      </c>
      <c r="T771" s="15">
        <v>212.78</v>
      </c>
    </row>
    <row r="772" spans="1:20" x14ac:dyDescent="0.3">
      <c r="A772" s="7" t="s">
        <v>790</v>
      </c>
      <c r="B772" s="13">
        <v>43944.993993055556</v>
      </c>
      <c r="C772" s="13">
        <v>43945.993993993987</v>
      </c>
      <c r="D772" s="8" t="s">
        <v>1021</v>
      </c>
      <c r="E772" s="8" t="s">
        <v>1761</v>
      </c>
      <c r="F772" s="8" t="s">
        <v>2286</v>
      </c>
      <c r="G772" s="8" t="s">
        <v>2408</v>
      </c>
      <c r="H772" s="8" t="s">
        <v>2409</v>
      </c>
      <c r="I772" s="8" t="s">
        <v>2418</v>
      </c>
      <c r="J772" s="16" t="s">
        <v>3893</v>
      </c>
      <c r="K772" s="16">
        <v>73855</v>
      </c>
      <c r="L772" s="8" t="s">
        <v>2421</v>
      </c>
      <c r="M772" s="8" t="s">
        <v>3161</v>
      </c>
      <c r="N772" s="8" t="s">
        <v>3372</v>
      </c>
      <c r="O772" s="8" t="s">
        <v>3378</v>
      </c>
      <c r="P772" s="8" t="s">
        <v>3391</v>
      </c>
      <c r="Q772" s="8">
        <v>1487.64</v>
      </c>
      <c r="R772" s="16">
        <v>8</v>
      </c>
      <c r="S772" s="21">
        <v>0.17</v>
      </c>
      <c r="T772" s="16">
        <v>-19.37</v>
      </c>
    </row>
    <row r="773" spans="1:20" x14ac:dyDescent="0.3">
      <c r="A773" s="5" t="s">
        <v>791</v>
      </c>
      <c r="B773" s="12">
        <v>43946.090092592596</v>
      </c>
      <c r="C773" s="12">
        <v>43950.090090090082</v>
      </c>
      <c r="D773" s="6" t="s">
        <v>1021</v>
      </c>
      <c r="E773" s="6" t="s">
        <v>1762</v>
      </c>
      <c r="F773" s="6" t="s">
        <v>2069</v>
      </c>
      <c r="G773" s="6" t="s">
        <v>2406</v>
      </c>
      <c r="H773" s="6" t="s">
        <v>2409</v>
      </c>
      <c r="I773" s="6" t="s">
        <v>2417</v>
      </c>
      <c r="J773" s="15" t="s">
        <v>3896</v>
      </c>
      <c r="K773" s="15">
        <v>97642</v>
      </c>
      <c r="L773" s="6" t="s">
        <v>2420</v>
      </c>
      <c r="M773" s="6" t="s">
        <v>3162</v>
      </c>
      <c r="N773" s="6" t="s">
        <v>3371</v>
      </c>
      <c r="O773" s="6" t="s">
        <v>3382</v>
      </c>
      <c r="P773" s="6" t="s">
        <v>3813</v>
      </c>
      <c r="Q773" s="6">
        <v>162.82</v>
      </c>
      <c r="R773" s="15">
        <v>9</v>
      </c>
      <c r="S773" s="20">
        <v>0.19</v>
      </c>
      <c r="T773" s="15">
        <v>51.3</v>
      </c>
    </row>
    <row r="774" spans="1:20" x14ac:dyDescent="0.3">
      <c r="A774" s="7" t="s">
        <v>792</v>
      </c>
      <c r="B774" s="13">
        <v>43947.186180555553</v>
      </c>
      <c r="C774" s="13">
        <v>43953.186186186183</v>
      </c>
      <c r="D774" s="8" t="s">
        <v>1022</v>
      </c>
      <c r="E774" s="8" t="s">
        <v>1382</v>
      </c>
      <c r="F774" s="8" t="s">
        <v>2339</v>
      </c>
      <c r="G774" s="8" t="s">
        <v>2408</v>
      </c>
      <c r="H774" s="8" t="s">
        <v>2409</v>
      </c>
      <c r="I774" s="8" t="s">
        <v>2413</v>
      </c>
      <c r="J774" s="16" t="s">
        <v>3893</v>
      </c>
      <c r="K774" s="16">
        <v>21470</v>
      </c>
      <c r="L774" s="8" t="s">
        <v>2419</v>
      </c>
      <c r="M774" s="8" t="s">
        <v>2980</v>
      </c>
      <c r="N774" s="8" t="s">
        <v>3372</v>
      </c>
      <c r="O774" s="8" t="s">
        <v>3384</v>
      </c>
      <c r="P774" s="8" t="s">
        <v>3613</v>
      </c>
      <c r="Q774" s="8">
        <v>2342.4899999999998</v>
      </c>
      <c r="R774" s="16">
        <v>9</v>
      </c>
      <c r="S774" s="21">
        <v>0.67</v>
      </c>
      <c r="T774" s="16">
        <v>875.98</v>
      </c>
    </row>
    <row r="775" spans="1:20" x14ac:dyDescent="0.3">
      <c r="A775" s="5" t="s">
        <v>793</v>
      </c>
      <c r="B775" s="12">
        <v>43948.282280092593</v>
      </c>
      <c r="C775" s="12">
        <v>43949.282282282278</v>
      </c>
      <c r="D775" s="6" t="s">
        <v>1021</v>
      </c>
      <c r="E775" s="6" t="s">
        <v>1763</v>
      </c>
      <c r="F775" s="6" t="s">
        <v>2166</v>
      </c>
      <c r="G775" s="6" t="s">
        <v>2407</v>
      </c>
      <c r="H775" s="6" t="s">
        <v>2409</v>
      </c>
      <c r="I775" s="6" t="s">
        <v>2418</v>
      </c>
      <c r="J775" s="15" t="s">
        <v>3894</v>
      </c>
      <c r="K775" s="15">
        <v>46831</v>
      </c>
      <c r="L775" s="6" t="s">
        <v>2420</v>
      </c>
      <c r="M775" s="6" t="s">
        <v>3163</v>
      </c>
      <c r="N775" s="6" t="s">
        <v>3373</v>
      </c>
      <c r="O775" s="6" t="s">
        <v>3385</v>
      </c>
      <c r="P775" s="6" t="s">
        <v>3521</v>
      </c>
      <c r="Q775" s="6">
        <v>932.48</v>
      </c>
      <c r="R775" s="15">
        <v>7</v>
      </c>
      <c r="S775" s="20">
        <v>0.43</v>
      </c>
      <c r="T775" s="15">
        <v>488.96</v>
      </c>
    </row>
    <row r="776" spans="1:20" x14ac:dyDescent="0.3">
      <c r="A776" s="7" t="s">
        <v>794</v>
      </c>
      <c r="B776" s="13">
        <v>43949.378379629627</v>
      </c>
      <c r="C776" s="13">
        <v>43951.378378378373</v>
      </c>
      <c r="D776" s="8" t="s">
        <v>1021</v>
      </c>
      <c r="E776" s="8" t="s">
        <v>1764</v>
      </c>
      <c r="F776" s="8" t="s">
        <v>2179</v>
      </c>
      <c r="G776" s="8" t="s">
        <v>2408</v>
      </c>
      <c r="H776" s="8" t="s">
        <v>2409</v>
      </c>
      <c r="I776" s="8" t="s">
        <v>2417</v>
      </c>
      <c r="J776" s="16" t="s">
        <v>3896</v>
      </c>
      <c r="K776" s="16">
        <v>20703</v>
      </c>
      <c r="L776" s="8" t="s">
        <v>2421</v>
      </c>
      <c r="M776" s="8" t="s">
        <v>3164</v>
      </c>
      <c r="N776" s="8" t="s">
        <v>3371</v>
      </c>
      <c r="O776" s="8" t="s">
        <v>3374</v>
      </c>
      <c r="P776" s="8" t="s">
        <v>3816</v>
      </c>
      <c r="Q776" s="8">
        <v>3855.98</v>
      </c>
      <c r="R776" s="16">
        <v>13</v>
      </c>
      <c r="S776" s="21">
        <v>0.04</v>
      </c>
      <c r="T776" s="16">
        <v>1834.05</v>
      </c>
    </row>
    <row r="777" spans="1:20" x14ac:dyDescent="0.3">
      <c r="A777" s="5" t="s">
        <v>795</v>
      </c>
      <c r="B777" s="12">
        <v>43950.474479166667</v>
      </c>
      <c r="C777" s="12">
        <v>43952.474474474468</v>
      </c>
      <c r="D777" s="6" t="s">
        <v>1020</v>
      </c>
      <c r="E777" s="6" t="s">
        <v>1765</v>
      </c>
      <c r="F777" s="6" t="s">
        <v>2185</v>
      </c>
      <c r="G777" s="6" t="s">
        <v>2407</v>
      </c>
      <c r="H777" s="6" t="s">
        <v>2409</v>
      </c>
      <c r="I777" s="6" t="s">
        <v>2414</v>
      </c>
      <c r="J777" s="15" t="s">
        <v>3897</v>
      </c>
      <c r="K777" s="15">
        <v>77907</v>
      </c>
      <c r="L777" s="6" t="s">
        <v>2420</v>
      </c>
      <c r="M777" s="6" t="s">
        <v>3165</v>
      </c>
      <c r="N777" s="6" t="s">
        <v>3373</v>
      </c>
      <c r="O777" s="6" t="s">
        <v>3385</v>
      </c>
      <c r="P777" s="6" t="s">
        <v>3432</v>
      </c>
      <c r="Q777" s="6">
        <v>3304.8</v>
      </c>
      <c r="R777" s="15">
        <v>8</v>
      </c>
      <c r="S777" s="20">
        <v>0.36</v>
      </c>
      <c r="T777" s="15">
        <v>372.15</v>
      </c>
    </row>
    <row r="778" spans="1:20" x14ac:dyDescent="0.3">
      <c r="A778" s="7" t="s">
        <v>796</v>
      </c>
      <c r="B778" s="13">
        <v>43951.570567129631</v>
      </c>
      <c r="C778" s="13">
        <v>43954.57057057057</v>
      </c>
      <c r="D778" s="8" t="s">
        <v>1023</v>
      </c>
      <c r="E778" s="8" t="s">
        <v>1766</v>
      </c>
      <c r="F778" s="8" t="s">
        <v>1997</v>
      </c>
      <c r="G778" s="8" t="s">
        <v>2408</v>
      </c>
      <c r="H778" s="8" t="s">
        <v>2409</v>
      </c>
      <c r="I778" s="8" t="s">
        <v>2410</v>
      </c>
      <c r="J778" s="16" t="s">
        <v>3898</v>
      </c>
      <c r="K778" s="16">
        <v>68400</v>
      </c>
      <c r="L778" s="8" t="s">
        <v>2419</v>
      </c>
      <c r="M778" s="8" t="s">
        <v>3166</v>
      </c>
      <c r="N778" s="8" t="s">
        <v>3372</v>
      </c>
      <c r="O778" s="8" t="s">
        <v>3377</v>
      </c>
      <c r="P778" s="8" t="s">
        <v>3421</v>
      </c>
      <c r="Q778" s="8">
        <v>2095.46</v>
      </c>
      <c r="R778" s="16">
        <v>5</v>
      </c>
      <c r="S778" s="21">
        <v>0.57999999999999996</v>
      </c>
      <c r="T778" s="16">
        <v>485.85</v>
      </c>
    </row>
    <row r="779" spans="1:20" x14ac:dyDescent="0.3">
      <c r="A779" s="5" t="s">
        <v>797</v>
      </c>
      <c r="B779" s="12">
        <v>43952.666666666664</v>
      </c>
      <c r="C779" s="12">
        <v>43955.666666666657</v>
      </c>
      <c r="D779" s="6" t="s">
        <v>1020</v>
      </c>
      <c r="E779" s="6" t="s">
        <v>1767</v>
      </c>
      <c r="F779" s="6" t="s">
        <v>2372</v>
      </c>
      <c r="G779" s="6" t="s">
        <v>2407</v>
      </c>
      <c r="H779" s="6" t="s">
        <v>2409</v>
      </c>
      <c r="I779" s="6" t="s">
        <v>2412</v>
      </c>
      <c r="J779" s="15" t="s">
        <v>3892</v>
      </c>
      <c r="K779" s="15">
        <v>21480</v>
      </c>
      <c r="L779" s="6" t="s">
        <v>2422</v>
      </c>
      <c r="M779" s="6" t="s">
        <v>2825</v>
      </c>
      <c r="N779" s="6" t="s">
        <v>3372</v>
      </c>
      <c r="O779" s="6" t="s">
        <v>3384</v>
      </c>
      <c r="P779" s="6" t="s">
        <v>3817</v>
      </c>
      <c r="Q779" s="6">
        <v>3256.97</v>
      </c>
      <c r="R779" s="15">
        <v>9</v>
      </c>
      <c r="S779" s="20">
        <v>0.7</v>
      </c>
      <c r="T779" s="15">
        <v>224.8</v>
      </c>
    </row>
    <row r="780" spans="1:20" x14ac:dyDescent="0.3">
      <c r="A780" s="7" t="s">
        <v>798</v>
      </c>
      <c r="B780" s="13">
        <v>43953.762766203705</v>
      </c>
      <c r="C780" s="13">
        <v>43955.762762762752</v>
      </c>
      <c r="D780" s="8" t="s">
        <v>1022</v>
      </c>
      <c r="E780" s="8" t="s">
        <v>1768</v>
      </c>
      <c r="F780" s="8" t="s">
        <v>2036</v>
      </c>
      <c r="G780" s="8" t="s">
        <v>2408</v>
      </c>
      <c r="H780" s="8" t="s">
        <v>2409</v>
      </c>
      <c r="I780" s="8" t="s">
        <v>2418</v>
      </c>
      <c r="J780" s="16" t="s">
        <v>3896</v>
      </c>
      <c r="K780" s="16">
        <v>57552</v>
      </c>
      <c r="L780" s="8" t="s">
        <v>2420</v>
      </c>
      <c r="M780" s="8" t="s">
        <v>2720</v>
      </c>
      <c r="N780" s="8" t="s">
        <v>3371</v>
      </c>
      <c r="O780" s="8" t="s">
        <v>3383</v>
      </c>
      <c r="P780" s="8" t="s">
        <v>3633</v>
      </c>
      <c r="Q780" s="8">
        <v>3418.49</v>
      </c>
      <c r="R780" s="16">
        <v>4</v>
      </c>
      <c r="S780" s="21">
        <v>0.23</v>
      </c>
      <c r="T780" s="16">
        <v>-267.81</v>
      </c>
    </row>
    <row r="781" spans="1:20" x14ac:dyDescent="0.3">
      <c r="A781" s="5" t="s">
        <v>799</v>
      </c>
      <c r="B781" s="12">
        <v>43954.858854166669</v>
      </c>
      <c r="C781" s="12">
        <v>43955.858858858854</v>
      </c>
      <c r="D781" s="6" t="s">
        <v>1023</v>
      </c>
      <c r="E781" s="6" t="s">
        <v>1769</v>
      </c>
      <c r="F781" s="6" t="s">
        <v>2007</v>
      </c>
      <c r="G781" s="6" t="s">
        <v>2408</v>
      </c>
      <c r="H781" s="6" t="s">
        <v>2409</v>
      </c>
      <c r="I781" s="6" t="s">
        <v>2418</v>
      </c>
      <c r="J781" s="15" t="s">
        <v>2410</v>
      </c>
      <c r="K781" s="15">
        <v>29842</v>
      </c>
      <c r="L781" s="6" t="s">
        <v>2419</v>
      </c>
      <c r="M781" s="6" t="s">
        <v>3167</v>
      </c>
      <c r="N781" s="6" t="s">
        <v>3372</v>
      </c>
      <c r="O781" s="6" t="s">
        <v>3378</v>
      </c>
      <c r="P781" s="6" t="s">
        <v>3565</v>
      </c>
      <c r="Q781" s="6">
        <v>1177.22</v>
      </c>
      <c r="R781" s="15">
        <v>11</v>
      </c>
      <c r="S781" s="20">
        <v>0.44</v>
      </c>
      <c r="T781" s="15">
        <v>184.06</v>
      </c>
    </row>
    <row r="782" spans="1:20" x14ac:dyDescent="0.3">
      <c r="A782" s="7" t="s">
        <v>800</v>
      </c>
      <c r="B782" s="13">
        <v>43955.954953703702</v>
      </c>
      <c r="C782" s="13">
        <v>43960.954954954963</v>
      </c>
      <c r="D782" s="8" t="s">
        <v>1022</v>
      </c>
      <c r="E782" s="8" t="s">
        <v>1770</v>
      </c>
      <c r="F782" s="8" t="s">
        <v>2212</v>
      </c>
      <c r="G782" s="8" t="s">
        <v>2408</v>
      </c>
      <c r="H782" s="8" t="s">
        <v>2409</v>
      </c>
      <c r="I782" s="8" t="s">
        <v>2410</v>
      </c>
      <c r="J782" s="16" t="s">
        <v>3898</v>
      </c>
      <c r="K782" s="16">
        <v>16325</v>
      </c>
      <c r="L782" s="8" t="s">
        <v>2420</v>
      </c>
      <c r="M782" s="8" t="s">
        <v>3168</v>
      </c>
      <c r="N782" s="8" t="s">
        <v>3373</v>
      </c>
      <c r="O782" s="8" t="s">
        <v>3385</v>
      </c>
      <c r="P782" s="8" t="s">
        <v>3577</v>
      </c>
      <c r="Q782" s="8">
        <v>215.85</v>
      </c>
      <c r="R782" s="16">
        <v>10</v>
      </c>
      <c r="S782" s="21">
        <v>0.73</v>
      </c>
      <c r="T782" s="16">
        <v>81.42</v>
      </c>
    </row>
    <row r="783" spans="1:20" x14ac:dyDescent="0.3">
      <c r="A783" s="5" t="s">
        <v>801</v>
      </c>
      <c r="B783" s="12">
        <v>43957.051053240742</v>
      </c>
      <c r="C783" s="12">
        <v>43963.051051051043</v>
      </c>
      <c r="D783" s="6" t="s">
        <v>1022</v>
      </c>
      <c r="E783" s="6" t="s">
        <v>1771</v>
      </c>
      <c r="F783" s="6" t="s">
        <v>2299</v>
      </c>
      <c r="G783" s="6" t="s">
        <v>2408</v>
      </c>
      <c r="H783" s="6" t="s">
        <v>2409</v>
      </c>
      <c r="I783" s="6" t="s">
        <v>2416</v>
      </c>
      <c r="J783" s="15" t="s">
        <v>2410</v>
      </c>
      <c r="K783" s="15">
        <v>10389</v>
      </c>
      <c r="L783" s="6" t="s">
        <v>2422</v>
      </c>
      <c r="M783" s="6" t="s">
        <v>3169</v>
      </c>
      <c r="N783" s="6" t="s">
        <v>3372</v>
      </c>
      <c r="O783" s="6" t="s">
        <v>3378</v>
      </c>
      <c r="P783" s="6" t="s">
        <v>3589</v>
      </c>
      <c r="Q783" s="6">
        <v>133.24</v>
      </c>
      <c r="R783" s="15">
        <v>12</v>
      </c>
      <c r="S783" s="20">
        <v>0.11</v>
      </c>
      <c r="T783" s="15">
        <v>63.78</v>
      </c>
    </row>
    <row r="784" spans="1:20" x14ac:dyDescent="0.3">
      <c r="A784" s="7" t="s">
        <v>802</v>
      </c>
      <c r="B784" s="13">
        <v>43958.147152777776</v>
      </c>
      <c r="C784" s="13">
        <v>43961.147147147138</v>
      </c>
      <c r="D784" s="8" t="s">
        <v>1020</v>
      </c>
      <c r="E784" s="8" t="s">
        <v>1772</v>
      </c>
      <c r="F784" s="8" t="s">
        <v>2083</v>
      </c>
      <c r="G784" s="8" t="s">
        <v>2406</v>
      </c>
      <c r="H784" s="8" t="s">
        <v>2409</v>
      </c>
      <c r="I784" s="8" t="s">
        <v>2412</v>
      </c>
      <c r="J784" s="16" t="s">
        <v>2410</v>
      </c>
      <c r="K784" s="16">
        <v>74801</v>
      </c>
      <c r="L784" s="8" t="s">
        <v>2419</v>
      </c>
      <c r="M784" s="8" t="s">
        <v>3170</v>
      </c>
      <c r="N784" s="8" t="s">
        <v>3371</v>
      </c>
      <c r="O784" s="8" t="s">
        <v>3382</v>
      </c>
      <c r="P784" s="8" t="s">
        <v>3644</v>
      </c>
      <c r="Q784" s="8">
        <v>4704.83</v>
      </c>
      <c r="R784" s="16">
        <v>1</v>
      </c>
      <c r="S784" s="21">
        <v>0.89</v>
      </c>
      <c r="T784" s="16">
        <v>621.09</v>
      </c>
    </row>
    <row r="785" spans="1:20" x14ac:dyDescent="0.3">
      <c r="A785" s="5" t="s">
        <v>803</v>
      </c>
      <c r="B785" s="12">
        <v>43959.24324074074</v>
      </c>
      <c r="C785" s="12">
        <v>43963.24324324324</v>
      </c>
      <c r="D785" s="6" t="s">
        <v>1023</v>
      </c>
      <c r="E785" s="6" t="s">
        <v>1773</v>
      </c>
      <c r="F785" s="6" t="s">
        <v>2251</v>
      </c>
      <c r="G785" s="6" t="s">
        <v>2407</v>
      </c>
      <c r="H785" s="6" t="s">
        <v>2409</v>
      </c>
      <c r="I785" s="6" t="s">
        <v>2416</v>
      </c>
      <c r="J785" s="15" t="s">
        <v>3894</v>
      </c>
      <c r="K785" s="15">
        <v>89464</v>
      </c>
      <c r="L785" s="6" t="s">
        <v>2421</v>
      </c>
      <c r="M785" s="6" t="s">
        <v>3171</v>
      </c>
      <c r="N785" s="6" t="s">
        <v>3372</v>
      </c>
      <c r="O785" s="6" t="s">
        <v>3377</v>
      </c>
      <c r="P785" s="6" t="s">
        <v>3703</v>
      </c>
      <c r="Q785" s="6">
        <v>387.19</v>
      </c>
      <c r="R785" s="15">
        <v>10</v>
      </c>
      <c r="S785" s="20">
        <v>0.72</v>
      </c>
      <c r="T785" s="15">
        <v>159.46</v>
      </c>
    </row>
    <row r="786" spans="1:20" x14ac:dyDescent="0.3">
      <c r="A786" s="7" t="s">
        <v>804</v>
      </c>
      <c r="B786" s="13">
        <v>43960.33934027778</v>
      </c>
      <c r="C786" s="13">
        <v>43961.339339339327</v>
      </c>
      <c r="D786" s="8" t="s">
        <v>1022</v>
      </c>
      <c r="E786" s="8" t="s">
        <v>1774</v>
      </c>
      <c r="F786" s="8" t="s">
        <v>2204</v>
      </c>
      <c r="G786" s="8" t="s">
        <v>2407</v>
      </c>
      <c r="H786" s="8" t="s">
        <v>2409</v>
      </c>
      <c r="I786" s="8" t="s">
        <v>2412</v>
      </c>
      <c r="J786" s="16" t="s">
        <v>3894</v>
      </c>
      <c r="K786" s="16">
        <v>64302</v>
      </c>
      <c r="L786" s="8" t="s">
        <v>2421</v>
      </c>
      <c r="M786" s="8" t="s">
        <v>2618</v>
      </c>
      <c r="N786" s="8" t="s">
        <v>3371</v>
      </c>
      <c r="O786" s="8" t="s">
        <v>3382</v>
      </c>
      <c r="P786" s="8" t="s">
        <v>3572</v>
      </c>
      <c r="Q786" s="8">
        <v>2311.86</v>
      </c>
      <c r="R786" s="16">
        <v>3</v>
      </c>
      <c r="S786" s="21">
        <v>0.7</v>
      </c>
      <c r="T786" s="16">
        <v>-307.58</v>
      </c>
    </row>
    <row r="787" spans="1:20" x14ac:dyDescent="0.3">
      <c r="A787" s="5" t="s">
        <v>805</v>
      </c>
      <c r="B787" s="12">
        <v>43961.435439814813</v>
      </c>
      <c r="C787" s="12">
        <v>43963.435435435429</v>
      </c>
      <c r="D787" s="6" t="s">
        <v>1021</v>
      </c>
      <c r="E787" s="6" t="s">
        <v>1775</v>
      </c>
      <c r="F787" s="6" t="s">
        <v>2063</v>
      </c>
      <c r="G787" s="6" t="s">
        <v>2406</v>
      </c>
      <c r="H787" s="6" t="s">
        <v>2409</v>
      </c>
      <c r="I787" s="6" t="s">
        <v>2412</v>
      </c>
      <c r="J787" s="15" t="s">
        <v>3895</v>
      </c>
      <c r="K787" s="15">
        <v>54930</v>
      </c>
      <c r="L787" s="6" t="s">
        <v>2419</v>
      </c>
      <c r="M787" s="6" t="s">
        <v>3172</v>
      </c>
      <c r="N787" s="6" t="s">
        <v>3371</v>
      </c>
      <c r="O787" s="6" t="s">
        <v>3374</v>
      </c>
      <c r="P787" s="6" t="s">
        <v>3403</v>
      </c>
      <c r="Q787" s="6">
        <v>2031.24</v>
      </c>
      <c r="R787" s="15">
        <v>1</v>
      </c>
      <c r="S787" s="20">
        <v>0.8</v>
      </c>
      <c r="T787" s="15">
        <v>520.49</v>
      </c>
    </row>
    <row r="788" spans="1:20" x14ac:dyDescent="0.3">
      <c r="A788" s="7" t="s">
        <v>806</v>
      </c>
      <c r="B788" s="13">
        <v>43962.531527777777</v>
      </c>
      <c r="C788" s="13">
        <v>43963.531531531531</v>
      </c>
      <c r="D788" s="8" t="s">
        <v>1023</v>
      </c>
      <c r="E788" s="8" t="s">
        <v>1776</v>
      </c>
      <c r="F788" s="8" t="s">
        <v>2005</v>
      </c>
      <c r="G788" s="8" t="s">
        <v>2408</v>
      </c>
      <c r="H788" s="8" t="s">
        <v>2409</v>
      </c>
      <c r="I788" s="8" t="s">
        <v>2416</v>
      </c>
      <c r="J788" s="16" t="s">
        <v>3894</v>
      </c>
      <c r="K788" s="16">
        <v>67311</v>
      </c>
      <c r="L788" s="8" t="s">
        <v>2420</v>
      </c>
      <c r="M788" s="8" t="s">
        <v>3173</v>
      </c>
      <c r="N788" s="8" t="s">
        <v>3373</v>
      </c>
      <c r="O788" s="8" t="s">
        <v>3381</v>
      </c>
      <c r="P788" s="8" t="s">
        <v>3761</v>
      </c>
      <c r="Q788" s="8">
        <v>2729.22</v>
      </c>
      <c r="R788" s="16">
        <v>9</v>
      </c>
      <c r="S788" s="21">
        <v>0.52</v>
      </c>
      <c r="T788" s="16">
        <v>-386.04</v>
      </c>
    </row>
    <row r="789" spans="1:20" x14ac:dyDescent="0.3">
      <c r="A789" s="5" t="s">
        <v>807</v>
      </c>
      <c r="B789" s="12">
        <v>43963.627627314818</v>
      </c>
      <c r="C789" s="12">
        <v>43964.627627627633</v>
      </c>
      <c r="D789" s="6" t="s">
        <v>1022</v>
      </c>
      <c r="E789" s="6" t="s">
        <v>1777</v>
      </c>
      <c r="F789" s="6" t="s">
        <v>2355</v>
      </c>
      <c r="G789" s="6" t="s">
        <v>2406</v>
      </c>
      <c r="H789" s="6" t="s">
        <v>2409</v>
      </c>
      <c r="I789" s="6" t="s">
        <v>2416</v>
      </c>
      <c r="J789" s="15" t="s">
        <v>3896</v>
      </c>
      <c r="K789" s="15">
        <v>64460</v>
      </c>
      <c r="L789" s="6" t="s">
        <v>2420</v>
      </c>
      <c r="M789" s="6" t="s">
        <v>3174</v>
      </c>
      <c r="N789" s="6" t="s">
        <v>3372</v>
      </c>
      <c r="O789" s="6" t="s">
        <v>3376</v>
      </c>
      <c r="P789" s="6" t="s">
        <v>3692</v>
      </c>
      <c r="Q789" s="6">
        <v>1000.5</v>
      </c>
      <c r="R789" s="15">
        <v>10</v>
      </c>
      <c r="S789" s="20">
        <v>0.67</v>
      </c>
      <c r="T789" s="15">
        <v>278.17</v>
      </c>
    </row>
    <row r="790" spans="1:20" x14ac:dyDescent="0.3">
      <c r="A790" s="7" t="s">
        <v>808</v>
      </c>
      <c r="B790" s="13">
        <v>43964.723726851851</v>
      </c>
      <c r="C790" s="13">
        <v>43965.723723723713</v>
      </c>
      <c r="D790" s="8" t="s">
        <v>1022</v>
      </c>
      <c r="E790" s="8" t="s">
        <v>1778</v>
      </c>
      <c r="F790" s="8" t="s">
        <v>1985</v>
      </c>
      <c r="G790" s="8" t="s">
        <v>2407</v>
      </c>
      <c r="H790" s="8" t="s">
        <v>2409</v>
      </c>
      <c r="I790" s="8" t="s">
        <v>2410</v>
      </c>
      <c r="J790" s="16" t="s">
        <v>3897</v>
      </c>
      <c r="K790" s="16">
        <v>71005</v>
      </c>
      <c r="L790" s="8" t="s">
        <v>2419</v>
      </c>
      <c r="M790" s="8" t="s">
        <v>3175</v>
      </c>
      <c r="N790" s="8" t="s">
        <v>3373</v>
      </c>
      <c r="O790" s="8" t="s">
        <v>3379</v>
      </c>
      <c r="P790" s="8" t="s">
        <v>3514</v>
      </c>
      <c r="Q790" s="8">
        <v>3457.41</v>
      </c>
      <c r="R790" s="16">
        <v>8</v>
      </c>
      <c r="S790" s="21">
        <v>0.82</v>
      </c>
      <c r="T790" s="16">
        <v>1395.39</v>
      </c>
    </row>
    <row r="791" spans="1:20" x14ac:dyDescent="0.3">
      <c r="A791" s="5" t="s">
        <v>809</v>
      </c>
      <c r="B791" s="12">
        <v>43965.819814814815</v>
      </c>
      <c r="C791" s="12">
        <v>43966.819819819822</v>
      </c>
      <c r="D791" s="6" t="s">
        <v>1020</v>
      </c>
      <c r="E791" s="6" t="s">
        <v>1779</v>
      </c>
      <c r="F791" s="6" t="s">
        <v>2013</v>
      </c>
      <c r="G791" s="6" t="s">
        <v>2408</v>
      </c>
      <c r="H791" s="6" t="s">
        <v>2409</v>
      </c>
      <c r="I791" s="6" t="s">
        <v>2414</v>
      </c>
      <c r="J791" s="15" t="s">
        <v>3894</v>
      </c>
      <c r="K791" s="15">
        <v>57165</v>
      </c>
      <c r="L791" s="6" t="s">
        <v>2420</v>
      </c>
      <c r="M791" s="6" t="s">
        <v>3176</v>
      </c>
      <c r="N791" s="6" t="s">
        <v>3373</v>
      </c>
      <c r="O791" s="6" t="s">
        <v>3381</v>
      </c>
      <c r="P791" s="6" t="s">
        <v>3818</v>
      </c>
      <c r="Q791" s="6">
        <v>2780.2</v>
      </c>
      <c r="R791" s="15">
        <v>1</v>
      </c>
      <c r="S791" s="20">
        <v>0.26</v>
      </c>
      <c r="T791" s="15">
        <v>897.72</v>
      </c>
    </row>
    <row r="792" spans="1:20" x14ac:dyDescent="0.3">
      <c r="A792" s="7" t="s">
        <v>810</v>
      </c>
      <c r="B792" s="13">
        <v>43966.915914351855</v>
      </c>
      <c r="C792" s="13">
        <v>43972.915915915917</v>
      </c>
      <c r="D792" s="8" t="s">
        <v>1022</v>
      </c>
      <c r="E792" s="8" t="s">
        <v>1780</v>
      </c>
      <c r="F792" s="8" t="s">
        <v>2337</v>
      </c>
      <c r="G792" s="8" t="s">
        <v>2407</v>
      </c>
      <c r="H792" s="8" t="s">
        <v>2409</v>
      </c>
      <c r="I792" s="8" t="s">
        <v>2416</v>
      </c>
      <c r="J792" s="16" t="s">
        <v>3896</v>
      </c>
      <c r="K792" s="16">
        <v>65270</v>
      </c>
      <c r="L792" s="8" t="s">
        <v>2420</v>
      </c>
      <c r="M792" s="8" t="s">
        <v>3177</v>
      </c>
      <c r="N792" s="8" t="s">
        <v>3371</v>
      </c>
      <c r="O792" s="8" t="s">
        <v>3374</v>
      </c>
      <c r="P792" s="8" t="s">
        <v>3396</v>
      </c>
      <c r="Q792" s="8">
        <v>3456.2</v>
      </c>
      <c r="R792" s="16">
        <v>13</v>
      </c>
      <c r="S792" s="21">
        <v>0.4</v>
      </c>
      <c r="T792" s="16">
        <v>468.77</v>
      </c>
    </row>
    <row r="793" spans="1:20" x14ac:dyDescent="0.3">
      <c r="A793" s="5" t="s">
        <v>811</v>
      </c>
      <c r="B793" s="12">
        <v>43968.012013888889</v>
      </c>
      <c r="C793" s="12">
        <v>43971.012012011997</v>
      </c>
      <c r="D793" s="6" t="s">
        <v>1022</v>
      </c>
      <c r="E793" s="6" t="s">
        <v>1781</v>
      </c>
      <c r="F793" s="6" t="s">
        <v>2271</v>
      </c>
      <c r="G793" s="6" t="s">
        <v>2407</v>
      </c>
      <c r="H793" s="6" t="s">
        <v>2409</v>
      </c>
      <c r="I793" s="6" t="s">
        <v>2412</v>
      </c>
      <c r="J793" s="15" t="s">
        <v>3893</v>
      </c>
      <c r="K793" s="15">
        <v>88252</v>
      </c>
      <c r="L793" s="6" t="s">
        <v>2419</v>
      </c>
      <c r="M793" s="6" t="s">
        <v>3178</v>
      </c>
      <c r="N793" s="6" t="s">
        <v>3373</v>
      </c>
      <c r="O793" s="6" t="s">
        <v>3379</v>
      </c>
      <c r="P793" s="6" t="s">
        <v>3819</v>
      </c>
      <c r="Q793" s="6">
        <v>4631.0600000000004</v>
      </c>
      <c r="R793" s="15">
        <v>7</v>
      </c>
      <c r="S793" s="20">
        <v>0.31</v>
      </c>
      <c r="T793" s="15">
        <v>-226.92</v>
      </c>
    </row>
    <row r="794" spans="1:20" x14ac:dyDescent="0.3">
      <c r="A794" s="7" t="s">
        <v>812</v>
      </c>
      <c r="B794" s="13">
        <v>43969.108113425929</v>
      </c>
      <c r="C794" s="13">
        <v>43974.108108108099</v>
      </c>
      <c r="D794" s="8" t="s">
        <v>1021</v>
      </c>
      <c r="E794" s="8" t="s">
        <v>1782</v>
      </c>
      <c r="F794" s="8" t="s">
        <v>2167</v>
      </c>
      <c r="G794" s="8" t="s">
        <v>2407</v>
      </c>
      <c r="H794" s="8" t="s">
        <v>2409</v>
      </c>
      <c r="I794" s="8" t="s">
        <v>2414</v>
      </c>
      <c r="J794" s="16" t="s">
        <v>2410</v>
      </c>
      <c r="K794" s="16">
        <v>25283</v>
      </c>
      <c r="L794" s="8" t="s">
        <v>2422</v>
      </c>
      <c r="M794" s="8" t="s">
        <v>3179</v>
      </c>
      <c r="N794" s="8" t="s">
        <v>3371</v>
      </c>
      <c r="O794" s="8" t="s">
        <v>3383</v>
      </c>
      <c r="P794" s="8" t="s">
        <v>3745</v>
      </c>
      <c r="Q794" s="8">
        <v>3919.39</v>
      </c>
      <c r="R794" s="16">
        <v>14</v>
      </c>
      <c r="S794" s="21">
        <v>0.5</v>
      </c>
      <c r="T794" s="16">
        <v>-768.63</v>
      </c>
    </row>
    <row r="795" spans="1:20" x14ac:dyDescent="0.3">
      <c r="A795" s="5" t="s">
        <v>813</v>
      </c>
      <c r="B795" s="12">
        <v>43970.204201388886</v>
      </c>
      <c r="C795" s="12">
        <v>43972.204204204201</v>
      </c>
      <c r="D795" s="6" t="s">
        <v>1022</v>
      </c>
      <c r="E795" s="6" t="s">
        <v>1783</v>
      </c>
      <c r="F795" s="6" t="s">
        <v>2067</v>
      </c>
      <c r="G795" s="6" t="s">
        <v>2406</v>
      </c>
      <c r="H795" s="6" t="s">
        <v>2409</v>
      </c>
      <c r="I795" s="6" t="s">
        <v>2412</v>
      </c>
      <c r="J795" s="15" t="s">
        <v>3894</v>
      </c>
      <c r="K795" s="15">
        <v>16344</v>
      </c>
      <c r="L795" s="6" t="s">
        <v>2421</v>
      </c>
      <c r="M795" s="6" t="s">
        <v>3180</v>
      </c>
      <c r="N795" s="6" t="s">
        <v>3371</v>
      </c>
      <c r="O795" s="6" t="s">
        <v>3374</v>
      </c>
      <c r="P795" s="6" t="s">
        <v>3441</v>
      </c>
      <c r="Q795" s="6">
        <v>1722.15</v>
      </c>
      <c r="R795" s="15">
        <v>6</v>
      </c>
      <c r="S795" s="20">
        <v>0.54</v>
      </c>
      <c r="T795" s="15">
        <v>886.76</v>
      </c>
    </row>
    <row r="796" spans="1:20" x14ac:dyDescent="0.3">
      <c r="A796" s="7" t="s">
        <v>814</v>
      </c>
      <c r="B796" s="13">
        <v>43971.300300925926</v>
      </c>
      <c r="C796" s="13">
        <v>43976.300300300289</v>
      </c>
      <c r="D796" s="8" t="s">
        <v>1023</v>
      </c>
      <c r="E796" s="8" t="s">
        <v>1784</v>
      </c>
      <c r="F796" s="8" t="s">
        <v>2289</v>
      </c>
      <c r="G796" s="8" t="s">
        <v>2406</v>
      </c>
      <c r="H796" s="8" t="s">
        <v>2409</v>
      </c>
      <c r="I796" s="8" t="s">
        <v>2412</v>
      </c>
      <c r="J796" s="16" t="s">
        <v>3895</v>
      </c>
      <c r="K796" s="16">
        <v>11531</v>
      </c>
      <c r="L796" s="8" t="s">
        <v>2419</v>
      </c>
      <c r="M796" s="8" t="s">
        <v>3181</v>
      </c>
      <c r="N796" s="8" t="s">
        <v>3373</v>
      </c>
      <c r="O796" s="8" t="s">
        <v>3385</v>
      </c>
      <c r="P796" s="8" t="s">
        <v>3404</v>
      </c>
      <c r="Q796" s="8">
        <v>2569.3000000000002</v>
      </c>
      <c r="R796" s="16">
        <v>14</v>
      </c>
      <c r="S796" s="21">
        <v>0.32</v>
      </c>
      <c r="T796" s="16">
        <v>1442.19</v>
      </c>
    </row>
    <row r="797" spans="1:20" x14ac:dyDescent="0.3">
      <c r="A797" s="5" t="s">
        <v>815</v>
      </c>
      <c r="B797" s="12">
        <v>43972.39640046296</v>
      </c>
      <c r="C797" s="12">
        <v>43977.396396396391</v>
      </c>
      <c r="D797" s="6" t="s">
        <v>1021</v>
      </c>
      <c r="E797" s="6" t="s">
        <v>1785</v>
      </c>
      <c r="F797" s="6" t="s">
        <v>2111</v>
      </c>
      <c r="G797" s="6" t="s">
        <v>2408</v>
      </c>
      <c r="H797" s="6" t="s">
        <v>2409</v>
      </c>
      <c r="I797" s="6" t="s">
        <v>2410</v>
      </c>
      <c r="J797" s="15" t="s">
        <v>2410</v>
      </c>
      <c r="K797" s="15">
        <v>28406</v>
      </c>
      <c r="L797" s="6" t="s">
        <v>2419</v>
      </c>
      <c r="M797" s="6" t="s">
        <v>3182</v>
      </c>
      <c r="N797" s="6" t="s">
        <v>3371</v>
      </c>
      <c r="O797" s="6" t="s">
        <v>3374</v>
      </c>
      <c r="P797" s="6" t="s">
        <v>3807</v>
      </c>
      <c r="Q797" s="6">
        <v>1351.93</v>
      </c>
      <c r="R797" s="15">
        <v>6</v>
      </c>
      <c r="S797" s="20">
        <v>0.56000000000000005</v>
      </c>
      <c r="T797" s="15">
        <v>40.96</v>
      </c>
    </row>
    <row r="798" spans="1:20" x14ac:dyDescent="0.3">
      <c r="A798" s="7" t="s">
        <v>816</v>
      </c>
      <c r="B798" s="13">
        <v>43973.492488425924</v>
      </c>
      <c r="C798" s="13">
        <v>43974.492492492493</v>
      </c>
      <c r="D798" s="8" t="s">
        <v>1020</v>
      </c>
      <c r="E798" s="8" t="s">
        <v>1610</v>
      </c>
      <c r="F798" s="8" t="s">
        <v>1969</v>
      </c>
      <c r="G798" s="8" t="s">
        <v>2407</v>
      </c>
      <c r="H798" s="8" t="s">
        <v>2409</v>
      </c>
      <c r="I798" s="8" t="s">
        <v>2417</v>
      </c>
      <c r="J798" s="16" t="s">
        <v>2410</v>
      </c>
      <c r="K798" s="16">
        <v>20550</v>
      </c>
      <c r="L798" s="8" t="s">
        <v>2419</v>
      </c>
      <c r="M798" s="8" t="s">
        <v>3183</v>
      </c>
      <c r="N798" s="8" t="s">
        <v>3372</v>
      </c>
      <c r="O798" s="8" t="s">
        <v>3378</v>
      </c>
      <c r="P798" s="8" t="s">
        <v>3820</v>
      </c>
      <c r="Q798" s="8">
        <v>2363.86</v>
      </c>
      <c r="R798" s="16">
        <v>7</v>
      </c>
      <c r="S798" s="21">
        <v>0.61</v>
      </c>
      <c r="T798" s="16">
        <v>10.25</v>
      </c>
    </row>
    <row r="799" spans="1:20" x14ac:dyDescent="0.3">
      <c r="A799" s="5" t="s">
        <v>817</v>
      </c>
      <c r="B799" s="12">
        <v>43974.588587962964</v>
      </c>
      <c r="C799" s="12">
        <v>43977.588588588587</v>
      </c>
      <c r="D799" s="6" t="s">
        <v>1022</v>
      </c>
      <c r="E799" s="6" t="s">
        <v>1786</v>
      </c>
      <c r="F799" s="6" t="s">
        <v>2013</v>
      </c>
      <c r="G799" s="6" t="s">
        <v>2406</v>
      </c>
      <c r="H799" s="6" t="s">
        <v>2409</v>
      </c>
      <c r="I799" s="6" t="s">
        <v>2418</v>
      </c>
      <c r="J799" s="15" t="s">
        <v>3891</v>
      </c>
      <c r="K799" s="15">
        <v>52349</v>
      </c>
      <c r="L799" s="6" t="s">
        <v>2422</v>
      </c>
      <c r="M799" s="6" t="s">
        <v>3184</v>
      </c>
      <c r="N799" s="6" t="s">
        <v>3371</v>
      </c>
      <c r="O799" s="6" t="s">
        <v>3374</v>
      </c>
      <c r="P799" s="6" t="s">
        <v>3821</v>
      </c>
      <c r="Q799" s="6">
        <v>1229.54</v>
      </c>
      <c r="R799" s="15">
        <v>11</v>
      </c>
      <c r="S799" s="20">
        <v>0.18</v>
      </c>
      <c r="T799" s="15">
        <v>164.74</v>
      </c>
    </row>
    <row r="800" spans="1:20" x14ac:dyDescent="0.3">
      <c r="A800" s="7" t="s">
        <v>818</v>
      </c>
      <c r="B800" s="13">
        <v>43975.684687499997</v>
      </c>
      <c r="C800" s="13">
        <v>43978.684684684667</v>
      </c>
      <c r="D800" s="8" t="s">
        <v>1021</v>
      </c>
      <c r="E800" s="8" t="s">
        <v>1787</v>
      </c>
      <c r="F800" s="8" t="s">
        <v>2373</v>
      </c>
      <c r="G800" s="8" t="s">
        <v>2406</v>
      </c>
      <c r="H800" s="8" t="s">
        <v>2409</v>
      </c>
      <c r="I800" s="8" t="s">
        <v>2418</v>
      </c>
      <c r="J800" s="16" t="s">
        <v>3897</v>
      </c>
      <c r="K800" s="16">
        <v>23847</v>
      </c>
      <c r="L800" s="8" t="s">
        <v>2421</v>
      </c>
      <c r="M800" s="8" t="s">
        <v>3185</v>
      </c>
      <c r="N800" s="8" t="s">
        <v>3372</v>
      </c>
      <c r="O800" s="8" t="s">
        <v>3377</v>
      </c>
      <c r="P800" s="8" t="s">
        <v>3548</v>
      </c>
      <c r="Q800" s="8">
        <v>3501.03</v>
      </c>
      <c r="R800" s="16">
        <v>9</v>
      </c>
      <c r="S800" s="21">
        <v>0.34</v>
      </c>
      <c r="T800" s="16">
        <v>2012.75</v>
      </c>
    </row>
    <row r="801" spans="1:20" x14ac:dyDescent="0.3">
      <c r="A801" s="5" t="s">
        <v>819</v>
      </c>
      <c r="B801" s="12">
        <v>43976.780775462961</v>
      </c>
      <c r="C801" s="12">
        <v>43979.780780780777</v>
      </c>
      <c r="D801" s="6" t="s">
        <v>1022</v>
      </c>
      <c r="E801" s="6" t="s">
        <v>1788</v>
      </c>
      <c r="F801" s="6" t="s">
        <v>2360</v>
      </c>
      <c r="G801" s="6" t="s">
        <v>2406</v>
      </c>
      <c r="H801" s="6" t="s">
        <v>2409</v>
      </c>
      <c r="I801" s="6" t="s">
        <v>2412</v>
      </c>
      <c r="J801" s="15" t="s">
        <v>3898</v>
      </c>
      <c r="K801" s="15">
        <v>43919</v>
      </c>
      <c r="L801" s="6" t="s">
        <v>2420</v>
      </c>
      <c r="M801" s="6" t="s">
        <v>3186</v>
      </c>
      <c r="N801" s="6" t="s">
        <v>3371</v>
      </c>
      <c r="O801" s="6" t="s">
        <v>3382</v>
      </c>
      <c r="P801" s="6" t="s">
        <v>3822</v>
      </c>
      <c r="Q801" s="6">
        <v>695.3</v>
      </c>
      <c r="R801" s="15">
        <v>13</v>
      </c>
      <c r="S801" s="20">
        <v>0.69</v>
      </c>
      <c r="T801" s="15">
        <v>-105.66</v>
      </c>
    </row>
    <row r="802" spans="1:20" x14ac:dyDescent="0.3">
      <c r="A802" s="7" t="s">
        <v>820</v>
      </c>
      <c r="B802" s="13">
        <v>43977.876875000002</v>
      </c>
      <c r="C802" s="13">
        <v>43979.876876876871</v>
      </c>
      <c r="D802" s="8" t="s">
        <v>1022</v>
      </c>
      <c r="E802" s="8" t="s">
        <v>1789</v>
      </c>
      <c r="F802" s="8" t="s">
        <v>2220</v>
      </c>
      <c r="G802" s="8" t="s">
        <v>2407</v>
      </c>
      <c r="H802" s="8" t="s">
        <v>2409</v>
      </c>
      <c r="I802" s="8" t="s">
        <v>2415</v>
      </c>
      <c r="J802" s="16" t="s">
        <v>3892</v>
      </c>
      <c r="K802" s="16">
        <v>76795</v>
      </c>
      <c r="L802" s="8" t="s">
        <v>2422</v>
      </c>
      <c r="M802" s="8" t="s">
        <v>3187</v>
      </c>
      <c r="N802" s="8" t="s">
        <v>3373</v>
      </c>
      <c r="O802" s="8" t="s">
        <v>3381</v>
      </c>
      <c r="P802" s="8" t="s">
        <v>3461</v>
      </c>
      <c r="Q802" s="8">
        <v>202.78</v>
      </c>
      <c r="R802" s="16">
        <v>8</v>
      </c>
      <c r="S802" s="21">
        <v>0.32</v>
      </c>
      <c r="T802" s="16">
        <v>73.56</v>
      </c>
    </row>
    <row r="803" spans="1:20" x14ac:dyDescent="0.3">
      <c r="A803" s="5" t="s">
        <v>821</v>
      </c>
      <c r="B803" s="12">
        <v>43978.972974537035</v>
      </c>
      <c r="C803" s="12">
        <v>43979.972972972973</v>
      </c>
      <c r="D803" s="6" t="s">
        <v>1021</v>
      </c>
      <c r="E803" s="6" t="s">
        <v>1790</v>
      </c>
      <c r="F803" s="6" t="s">
        <v>2350</v>
      </c>
      <c r="G803" s="6" t="s">
        <v>2407</v>
      </c>
      <c r="H803" s="6" t="s">
        <v>2409</v>
      </c>
      <c r="I803" s="6" t="s">
        <v>2417</v>
      </c>
      <c r="J803" s="15" t="s">
        <v>2410</v>
      </c>
      <c r="K803" s="15">
        <v>65109</v>
      </c>
      <c r="L803" s="6" t="s">
        <v>2421</v>
      </c>
      <c r="M803" s="6" t="s">
        <v>3188</v>
      </c>
      <c r="N803" s="6" t="s">
        <v>3372</v>
      </c>
      <c r="O803" s="6" t="s">
        <v>3384</v>
      </c>
      <c r="P803" s="6" t="s">
        <v>3823</v>
      </c>
      <c r="Q803" s="6">
        <v>1056.77</v>
      </c>
      <c r="R803" s="15">
        <v>10</v>
      </c>
      <c r="S803" s="20">
        <v>7.0000000000000007E-2</v>
      </c>
      <c r="T803" s="15">
        <v>519.05999999999995</v>
      </c>
    </row>
    <row r="804" spans="1:20" x14ac:dyDescent="0.3">
      <c r="A804" s="7" t="s">
        <v>822</v>
      </c>
      <c r="B804" s="13">
        <v>43980.069074074076</v>
      </c>
      <c r="C804" s="13">
        <v>43984.069069069061</v>
      </c>
      <c r="D804" s="8" t="s">
        <v>1020</v>
      </c>
      <c r="E804" s="8" t="s">
        <v>1713</v>
      </c>
      <c r="F804" s="8" t="s">
        <v>2040</v>
      </c>
      <c r="G804" s="8" t="s">
        <v>2406</v>
      </c>
      <c r="H804" s="8" t="s">
        <v>2409</v>
      </c>
      <c r="I804" s="8" t="s">
        <v>2410</v>
      </c>
      <c r="J804" s="16" t="s">
        <v>3891</v>
      </c>
      <c r="K804" s="16">
        <v>99272</v>
      </c>
      <c r="L804" s="8" t="s">
        <v>2422</v>
      </c>
      <c r="M804" s="8" t="s">
        <v>3189</v>
      </c>
      <c r="N804" s="8" t="s">
        <v>3372</v>
      </c>
      <c r="O804" s="8" t="s">
        <v>3376</v>
      </c>
      <c r="P804" s="8" t="s">
        <v>3824</v>
      </c>
      <c r="Q804" s="8">
        <v>2324.34</v>
      </c>
      <c r="R804" s="16">
        <v>2</v>
      </c>
      <c r="S804" s="21">
        <v>0.74</v>
      </c>
      <c r="T804" s="16">
        <v>-141.47</v>
      </c>
    </row>
    <row r="805" spans="1:20" x14ac:dyDescent="0.3">
      <c r="A805" s="5" t="s">
        <v>823</v>
      </c>
      <c r="B805" s="12">
        <v>43981.165162037039</v>
      </c>
      <c r="C805" s="12">
        <v>43984.165165165163</v>
      </c>
      <c r="D805" s="6" t="s">
        <v>1020</v>
      </c>
      <c r="E805" s="6" t="s">
        <v>1791</v>
      </c>
      <c r="F805" s="6" t="s">
        <v>2185</v>
      </c>
      <c r="G805" s="6" t="s">
        <v>2407</v>
      </c>
      <c r="H805" s="6" t="s">
        <v>2409</v>
      </c>
      <c r="I805" s="6" t="s">
        <v>2410</v>
      </c>
      <c r="J805" s="15" t="s">
        <v>3893</v>
      </c>
      <c r="K805" s="15">
        <v>58258</v>
      </c>
      <c r="L805" s="6" t="s">
        <v>2419</v>
      </c>
      <c r="M805" s="6" t="s">
        <v>3190</v>
      </c>
      <c r="N805" s="6" t="s">
        <v>3373</v>
      </c>
      <c r="O805" s="6" t="s">
        <v>3381</v>
      </c>
      <c r="P805" s="6" t="s">
        <v>3808</v>
      </c>
      <c r="Q805" s="6">
        <v>1123.67</v>
      </c>
      <c r="R805" s="15">
        <v>8</v>
      </c>
      <c r="S805" s="20">
        <v>0.82</v>
      </c>
      <c r="T805" s="15">
        <v>262.72000000000003</v>
      </c>
    </row>
    <row r="806" spans="1:20" x14ac:dyDescent="0.3">
      <c r="A806" s="7" t="s">
        <v>824</v>
      </c>
      <c r="B806" s="13">
        <v>43982.261261574073</v>
      </c>
      <c r="C806" s="13">
        <v>43987.26126126125</v>
      </c>
      <c r="D806" s="8" t="s">
        <v>1022</v>
      </c>
      <c r="E806" s="8" t="s">
        <v>1792</v>
      </c>
      <c r="F806" s="8" t="s">
        <v>2374</v>
      </c>
      <c r="G806" s="8" t="s">
        <v>2406</v>
      </c>
      <c r="H806" s="8" t="s">
        <v>2409</v>
      </c>
      <c r="I806" s="8" t="s">
        <v>2412</v>
      </c>
      <c r="J806" s="16" t="s">
        <v>3891</v>
      </c>
      <c r="K806" s="16">
        <v>56879</v>
      </c>
      <c r="L806" s="8" t="s">
        <v>2419</v>
      </c>
      <c r="M806" s="8" t="s">
        <v>3191</v>
      </c>
      <c r="N806" s="8" t="s">
        <v>3371</v>
      </c>
      <c r="O806" s="8" t="s">
        <v>3375</v>
      </c>
      <c r="P806" s="8" t="s">
        <v>3728</v>
      </c>
      <c r="Q806" s="8">
        <v>957.02</v>
      </c>
      <c r="R806" s="16">
        <v>3</v>
      </c>
      <c r="S806" s="21">
        <v>0.15</v>
      </c>
      <c r="T806" s="16">
        <v>521.61</v>
      </c>
    </row>
    <row r="807" spans="1:20" x14ac:dyDescent="0.3">
      <c r="A807" s="5" t="s">
        <v>825</v>
      </c>
      <c r="B807" s="12">
        <v>43983.357361111113</v>
      </c>
      <c r="C807" s="12">
        <v>43985.357357357352</v>
      </c>
      <c r="D807" s="6" t="s">
        <v>1020</v>
      </c>
      <c r="E807" s="6" t="s">
        <v>1793</v>
      </c>
      <c r="F807" s="6" t="s">
        <v>2375</v>
      </c>
      <c r="G807" s="6" t="s">
        <v>2408</v>
      </c>
      <c r="H807" s="6" t="s">
        <v>2409</v>
      </c>
      <c r="I807" s="6" t="s">
        <v>2413</v>
      </c>
      <c r="J807" s="15" t="s">
        <v>3894</v>
      </c>
      <c r="K807" s="15">
        <v>87544</v>
      </c>
      <c r="L807" s="6" t="s">
        <v>2422</v>
      </c>
      <c r="M807" s="6" t="s">
        <v>3192</v>
      </c>
      <c r="N807" s="6" t="s">
        <v>3372</v>
      </c>
      <c r="O807" s="6" t="s">
        <v>3377</v>
      </c>
      <c r="P807" s="6" t="s">
        <v>3677</v>
      </c>
      <c r="Q807" s="6">
        <v>2102.86</v>
      </c>
      <c r="R807" s="15">
        <v>11</v>
      </c>
      <c r="S807" s="20">
        <v>0.54</v>
      </c>
      <c r="T807" s="15">
        <v>-80.33</v>
      </c>
    </row>
    <row r="808" spans="1:20" x14ac:dyDescent="0.3">
      <c r="A808" s="7" t="s">
        <v>826</v>
      </c>
      <c r="B808" s="13">
        <v>43984.453449074077</v>
      </c>
      <c r="C808" s="13">
        <v>43985.453453453447</v>
      </c>
      <c r="D808" s="8" t="s">
        <v>1022</v>
      </c>
      <c r="E808" s="8" t="s">
        <v>1794</v>
      </c>
      <c r="F808" s="8" t="s">
        <v>2157</v>
      </c>
      <c r="G808" s="8" t="s">
        <v>2407</v>
      </c>
      <c r="H808" s="8" t="s">
        <v>2409</v>
      </c>
      <c r="I808" s="8" t="s">
        <v>2417</v>
      </c>
      <c r="J808" s="16" t="s">
        <v>2410</v>
      </c>
      <c r="K808" s="16">
        <v>97246</v>
      </c>
      <c r="L808" s="8" t="s">
        <v>2421</v>
      </c>
      <c r="M808" s="8" t="s">
        <v>3193</v>
      </c>
      <c r="N808" s="8" t="s">
        <v>3371</v>
      </c>
      <c r="O808" s="8" t="s">
        <v>3374</v>
      </c>
      <c r="P808" s="8" t="s">
        <v>3825</v>
      </c>
      <c r="Q808" s="8">
        <v>3421.81</v>
      </c>
      <c r="R808" s="16">
        <v>2</v>
      </c>
      <c r="S808" s="21">
        <v>0.81</v>
      </c>
      <c r="T808" s="16">
        <v>-176.28</v>
      </c>
    </row>
    <row r="809" spans="1:20" x14ac:dyDescent="0.3">
      <c r="A809" s="5" t="s">
        <v>827</v>
      </c>
      <c r="B809" s="12">
        <v>43985.54954861111</v>
      </c>
      <c r="C809" s="12">
        <v>43987.549549549549</v>
      </c>
      <c r="D809" s="6" t="s">
        <v>1020</v>
      </c>
      <c r="E809" s="6" t="s">
        <v>1795</v>
      </c>
      <c r="F809" s="6" t="s">
        <v>2282</v>
      </c>
      <c r="G809" s="6" t="s">
        <v>2407</v>
      </c>
      <c r="H809" s="6" t="s">
        <v>2409</v>
      </c>
      <c r="I809" s="6" t="s">
        <v>2417</v>
      </c>
      <c r="J809" s="15" t="s">
        <v>3893</v>
      </c>
      <c r="K809" s="15">
        <v>51396</v>
      </c>
      <c r="L809" s="6" t="s">
        <v>2422</v>
      </c>
      <c r="M809" s="6" t="s">
        <v>3194</v>
      </c>
      <c r="N809" s="6" t="s">
        <v>3371</v>
      </c>
      <c r="O809" s="6" t="s">
        <v>3383</v>
      </c>
      <c r="P809" s="6" t="s">
        <v>3597</v>
      </c>
      <c r="Q809" s="6">
        <v>1774.95</v>
      </c>
      <c r="R809" s="15">
        <v>3</v>
      </c>
      <c r="S809" s="20">
        <v>0.27</v>
      </c>
      <c r="T809" s="15">
        <v>423.7</v>
      </c>
    </row>
    <row r="810" spans="1:20" x14ac:dyDescent="0.3">
      <c r="A810" s="7" t="s">
        <v>828</v>
      </c>
      <c r="B810" s="13">
        <v>43986.645648148151</v>
      </c>
      <c r="C810" s="13">
        <v>43987.645645645644</v>
      </c>
      <c r="D810" s="8" t="s">
        <v>1020</v>
      </c>
      <c r="E810" s="8" t="s">
        <v>1796</v>
      </c>
      <c r="F810" s="8" t="s">
        <v>2307</v>
      </c>
      <c r="G810" s="8" t="s">
        <v>2406</v>
      </c>
      <c r="H810" s="8" t="s">
        <v>2409</v>
      </c>
      <c r="I810" s="8" t="s">
        <v>2417</v>
      </c>
      <c r="J810" s="16" t="s">
        <v>3897</v>
      </c>
      <c r="K810" s="16">
        <v>31932</v>
      </c>
      <c r="L810" s="8" t="s">
        <v>2421</v>
      </c>
      <c r="M810" s="8" t="s">
        <v>3195</v>
      </c>
      <c r="N810" s="8" t="s">
        <v>3372</v>
      </c>
      <c r="O810" s="8" t="s">
        <v>3378</v>
      </c>
      <c r="P810" s="8" t="s">
        <v>3826</v>
      </c>
      <c r="Q810" s="8">
        <v>152.21</v>
      </c>
      <c r="R810" s="16">
        <v>4</v>
      </c>
      <c r="S810" s="21">
        <v>0.55000000000000004</v>
      </c>
      <c r="T810" s="16">
        <v>68.650000000000006</v>
      </c>
    </row>
    <row r="811" spans="1:20" x14ac:dyDescent="0.3">
      <c r="A811" s="5" t="s">
        <v>829</v>
      </c>
      <c r="B811" s="12">
        <v>43987.741736111115</v>
      </c>
      <c r="C811" s="12">
        <v>43989.741741741738</v>
      </c>
      <c r="D811" s="6" t="s">
        <v>1020</v>
      </c>
      <c r="E811" s="6" t="s">
        <v>1797</v>
      </c>
      <c r="F811" s="6" t="s">
        <v>2360</v>
      </c>
      <c r="G811" s="6" t="s">
        <v>2407</v>
      </c>
      <c r="H811" s="6" t="s">
        <v>2409</v>
      </c>
      <c r="I811" s="6" t="s">
        <v>2417</v>
      </c>
      <c r="J811" s="15" t="s">
        <v>3891</v>
      </c>
      <c r="K811" s="15">
        <v>41452</v>
      </c>
      <c r="L811" s="6" t="s">
        <v>2421</v>
      </c>
      <c r="M811" s="6" t="s">
        <v>3196</v>
      </c>
      <c r="N811" s="6" t="s">
        <v>3373</v>
      </c>
      <c r="O811" s="6" t="s">
        <v>3385</v>
      </c>
      <c r="P811" s="6" t="s">
        <v>3681</v>
      </c>
      <c r="Q811" s="6">
        <v>665.35</v>
      </c>
      <c r="R811" s="15">
        <v>10</v>
      </c>
      <c r="S811" s="20">
        <v>0.5</v>
      </c>
      <c r="T811" s="15">
        <v>358.2</v>
      </c>
    </row>
    <row r="812" spans="1:20" x14ac:dyDescent="0.3">
      <c r="A812" s="7" t="s">
        <v>830</v>
      </c>
      <c r="B812" s="13">
        <v>43988.837835648148</v>
      </c>
      <c r="C812" s="13">
        <v>43993.837837837833</v>
      </c>
      <c r="D812" s="8" t="s">
        <v>1023</v>
      </c>
      <c r="E812" s="8" t="s">
        <v>1798</v>
      </c>
      <c r="F812" s="8" t="s">
        <v>2376</v>
      </c>
      <c r="G812" s="8" t="s">
        <v>2406</v>
      </c>
      <c r="H812" s="8" t="s">
        <v>2409</v>
      </c>
      <c r="I812" s="8" t="s">
        <v>2410</v>
      </c>
      <c r="J812" s="16" t="s">
        <v>3897</v>
      </c>
      <c r="K812" s="16">
        <v>97299</v>
      </c>
      <c r="L812" s="8" t="s">
        <v>2422</v>
      </c>
      <c r="M812" s="8" t="s">
        <v>3197</v>
      </c>
      <c r="N812" s="8" t="s">
        <v>3373</v>
      </c>
      <c r="O812" s="8" t="s">
        <v>3381</v>
      </c>
      <c r="P812" s="8" t="s">
        <v>3640</v>
      </c>
      <c r="Q812" s="8">
        <v>2598.63</v>
      </c>
      <c r="R812" s="16">
        <v>10</v>
      </c>
      <c r="S812" s="21">
        <v>0.71</v>
      </c>
      <c r="T812" s="16">
        <v>1113.51</v>
      </c>
    </row>
    <row r="813" spans="1:20" x14ac:dyDescent="0.3">
      <c r="A813" s="5" t="s">
        <v>831</v>
      </c>
      <c r="B813" s="12">
        <v>43989.933935185189</v>
      </c>
      <c r="C813" s="12">
        <v>43992.93393393392</v>
      </c>
      <c r="D813" s="6" t="s">
        <v>1021</v>
      </c>
      <c r="E813" s="6" t="s">
        <v>1799</v>
      </c>
      <c r="F813" s="6" t="s">
        <v>2177</v>
      </c>
      <c r="G813" s="6" t="s">
        <v>2406</v>
      </c>
      <c r="H813" s="6" t="s">
        <v>2409</v>
      </c>
      <c r="I813" s="6" t="s">
        <v>2418</v>
      </c>
      <c r="J813" s="15" t="s">
        <v>2410</v>
      </c>
      <c r="K813" s="15">
        <v>99172</v>
      </c>
      <c r="L813" s="6" t="s">
        <v>2421</v>
      </c>
      <c r="M813" s="6" t="s">
        <v>3198</v>
      </c>
      <c r="N813" s="6" t="s">
        <v>3372</v>
      </c>
      <c r="O813" s="6" t="s">
        <v>3376</v>
      </c>
      <c r="P813" s="6" t="s">
        <v>3677</v>
      </c>
      <c r="Q813" s="6">
        <v>426.19</v>
      </c>
      <c r="R813" s="15">
        <v>2</v>
      </c>
      <c r="S813" s="20">
        <v>0.84</v>
      </c>
      <c r="T813" s="15">
        <v>226.3</v>
      </c>
    </row>
    <row r="814" spans="1:20" x14ac:dyDescent="0.3">
      <c r="A814" s="7" t="s">
        <v>832</v>
      </c>
      <c r="B814" s="13">
        <v>43991.030034722222</v>
      </c>
      <c r="C814" s="13">
        <v>43996.030030030022</v>
      </c>
      <c r="D814" s="8" t="s">
        <v>1020</v>
      </c>
      <c r="E814" s="8" t="s">
        <v>1800</v>
      </c>
      <c r="F814" s="8" t="s">
        <v>2304</v>
      </c>
      <c r="G814" s="8" t="s">
        <v>2408</v>
      </c>
      <c r="H814" s="8" t="s">
        <v>2409</v>
      </c>
      <c r="I814" s="8" t="s">
        <v>2412</v>
      </c>
      <c r="J814" s="16" t="s">
        <v>3898</v>
      </c>
      <c r="K814" s="16">
        <v>97394</v>
      </c>
      <c r="L814" s="8" t="s">
        <v>2422</v>
      </c>
      <c r="M814" s="8" t="s">
        <v>3199</v>
      </c>
      <c r="N814" s="8" t="s">
        <v>3372</v>
      </c>
      <c r="O814" s="8" t="s">
        <v>3376</v>
      </c>
      <c r="P814" s="8" t="s">
        <v>3661</v>
      </c>
      <c r="Q814" s="8">
        <v>1089.9100000000001</v>
      </c>
      <c r="R814" s="16">
        <v>3</v>
      </c>
      <c r="S814" s="21">
        <v>0.39</v>
      </c>
      <c r="T814" s="16">
        <v>381.25</v>
      </c>
    </row>
    <row r="815" spans="1:20" x14ac:dyDescent="0.3">
      <c r="A815" s="5" t="s">
        <v>833</v>
      </c>
      <c r="B815" s="12">
        <v>43992.126122685186</v>
      </c>
      <c r="C815" s="12">
        <v>43996.126126126117</v>
      </c>
      <c r="D815" s="6" t="s">
        <v>1023</v>
      </c>
      <c r="E815" s="6" t="s">
        <v>1801</v>
      </c>
      <c r="F815" s="6" t="s">
        <v>2030</v>
      </c>
      <c r="G815" s="6" t="s">
        <v>2406</v>
      </c>
      <c r="H815" s="6" t="s">
        <v>2409</v>
      </c>
      <c r="I815" s="6" t="s">
        <v>2412</v>
      </c>
      <c r="J815" s="15" t="s">
        <v>3891</v>
      </c>
      <c r="K815" s="15">
        <v>11019</v>
      </c>
      <c r="L815" s="6" t="s">
        <v>2422</v>
      </c>
      <c r="M815" s="6" t="s">
        <v>3200</v>
      </c>
      <c r="N815" s="6" t="s">
        <v>3371</v>
      </c>
      <c r="O815" s="6" t="s">
        <v>3375</v>
      </c>
      <c r="P815" s="6" t="s">
        <v>3562</v>
      </c>
      <c r="Q815" s="6">
        <v>4114.12</v>
      </c>
      <c r="R815" s="15">
        <v>12</v>
      </c>
      <c r="S815" s="20">
        <v>0.64</v>
      </c>
      <c r="T815" s="15">
        <v>-411.1</v>
      </c>
    </row>
    <row r="816" spans="1:20" x14ac:dyDescent="0.3">
      <c r="A816" s="7" t="s">
        <v>834</v>
      </c>
      <c r="B816" s="13">
        <v>43993.222222222219</v>
      </c>
      <c r="C816" s="13">
        <v>43997.222222222219</v>
      </c>
      <c r="D816" s="8" t="s">
        <v>1020</v>
      </c>
      <c r="E816" s="8" t="s">
        <v>1802</v>
      </c>
      <c r="F816" s="8" t="s">
        <v>2014</v>
      </c>
      <c r="G816" s="8" t="s">
        <v>2406</v>
      </c>
      <c r="H816" s="8" t="s">
        <v>2409</v>
      </c>
      <c r="I816" s="8" t="s">
        <v>2415</v>
      </c>
      <c r="J816" s="16" t="s">
        <v>3894</v>
      </c>
      <c r="K816" s="16">
        <v>71643</v>
      </c>
      <c r="L816" s="8" t="s">
        <v>2419</v>
      </c>
      <c r="M816" s="8" t="s">
        <v>3201</v>
      </c>
      <c r="N816" s="8" t="s">
        <v>3372</v>
      </c>
      <c r="O816" s="8" t="s">
        <v>3378</v>
      </c>
      <c r="P816" s="8" t="s">
        <v>3434</v>
      </c>
      <c r="Q816" s="8">
        <v>332.16</v>
      </c>
      <c r="R816" s="16">
        <v>11</v>
      </c>
      <c r="S816" s="21">
        <v>0.86</v>
      </c>
      <c r="T816" s="16">
        <v>187.79</v>
      </c>
    </row>
    <row r="817" spans="1:20" x14ac:dyDescent="0.3">
      <c r="A817" s="5" t="s">
        <v>835</v>
      </c>
      <c r="B817" s="12">
        <v>43994.31832175926</v>
      </c>
      <c r="C817" s="12">
        <v>43999.318318318306</v>
      </c>
      <c r="D817" s="6" t="s">
        <v>1023</v>
      </c>
      <c r="E817" s="6" t="s">
        <v>1803</v>
      </c>
      <c r="F817" s="6" t="s">
        <v>2019</v>
      </c>
      <c r="G817" s="6" t="s">
        <v>2407</v>
      </c>
      <c r="H817" s="6" t="s">
        <v>2409</v>
      </c>
      <c r="I817" s="6" t="s">
        <v>2414</v>
      </c>
      <c r="J817" s="15" t="s">
        <v>2410</v>
      </c>
      <c r="K817" s="15">
        <v>70005</v>
      </c>
      <c r="L817" s="6" t="s">
        <v>2420</v>
      </c>
      <c r="M817" s="6" t="s">
        <v>2979</v>
      </c>
      <c r="N817" s="6" t="s">
        <v>3372</v>
      </c>
      <c r="O817" s="6" t="s">
        <v>3384</v>
      </c>
      <c r="P817" s="6" t="s">
        <v>3644</v>
      </c>
      <c r="Q817" s="6">
        <v>2823.8</v>
      </c>
      <c r="R817" s="15">
        <v>14</v>
      </c>
      <c r="S817" s="20">
        <v>0.42</v>
      </c>
      <c r="T817" s="15">
        <v>593.54999999999995</v>
      </c>
    </row>
    <row r="818" spans="1:20" x14ac:dyDescent="0.3">
      <c r="A818" s="7" t="s">
        <v>836</v>
      </c>
      <c r="B818" s="13">
        <v>43995.414409722223</v>
      </c>
      <c r="C818" s="13">
        <v>43999.414414414408</v>
      </c>
      <c r="D818" s="8" t="s">
        <v>1022</v>
      </c>
      <c r="E818" s="8" t="s">
        <v>1804</v>
      </c>
      <c r="F818" s="8" t="s">
        <v>2377</v>
      </c>
      <c r="G818" s="8" t="s">
        <v>2406</v>
      </c>
      <c r="H818" s="8" t="s">
        <v>2409</v>
      </c>
      <c r="I818" s="8" t="s">
        <v>2415</v>
      </c>
      <c r="J818" s="16" t="s">
        <v>3895</v>
      </c>
      <c r="K818" s="16">
        <v>18953</v>
      </c>
      <c r="L818" s="8" t="s">
        <v>2419</v>
      </c>
      <c r="M818" s="8" t="s">
        <v>3202</v>
      </c>
      <c r="N818" s="8" t="s">
        <v>3373</v>
      </c>
      <c r="O818" s="8" t="s">
        <v>3379</v>
      </c>
      <c r="P818" s="8" t="s">
        <v>3827</v>
      </c>
      <c r="Q818" s="8">
        <v>4839.07</v>
      </c>
      <c r="R818" s="16">
        <v>5</v>
      </c>
      <c r="S818" s="21">
        <v>0.57999999999999996</v>
      </c>
      <c r="T818" s="16">
        <v>-295.66000000000003</v>
      </c>
    </row>
    <row r="819" spans="1:20" x14ac:dyDescent="0.3">
      <c r="A819" s="5" t="s">
        <v>837</v>
      </c>
      <c r="B819" s="12">
        <v>43996.510509259257</v>
      </c>
      <c r="C819" s="12">
        <v>44002.51051051051</v>
      </c>
      <c r="D819" s="6" t="s">
        <v>1021</v>
      </c>
      <c r="E819" s="6" t="s">
        <v>1805</v>
      </c>
      <c r="F819" s="6" t="s">
        <v>2231</v>
      </c>
      <c r="G819" s="6" t="s">
        <v>2406</v>
      </c>
      <c r="H819" s="6" t="s">
        <v>2409</v>
      </c>
      <c r="I819" s="6" t="s">
        <v>2412</v>
      </c>
      <c r="J819" s="15" t="s">
        <v>3898</v>
      </c>
      <c r="K819" s="15">
        <v>13134</v>
      </c>
      <c r="L819" s="6" t="s">
        <v>2421</v>
      </c>
      <c r="M819" s="6" t="s">
        <v>3203</v>
      </c>
      <c r="N819" s="6" t="s">
        <v>3372</v>
      </c>
      <c r="O819" s="6" t="s">
        <v>3384</v>
      </c>
      <c r="P819" s="6" t="s">
        <v>3732</v>
      </c>
      <c r="Q819" s="6">
        <v>3462.8</v>
      </c>
      <c r="R819" s="15">
        <v>13</v>
      </c>
      <c r="S819" s="20">
        <v>0.41</v>
      </c>
      <c r="T819" s="15">
        <v>-265.33999999999997</v>
      </c>
    </row>
    <row r="820" spans="1:20" x14ac:dyDescent="0.3">
      <c r="A820" s="7" t="s">
        <v>838</v>
      </c>
      <c r="B820" s="13">
        <v>43997.606608796297</v>
      </c>
      <c r="C820" s="13">
        <v>43999.606606606598</v>
      </c>
      <c r="D820" s="8" t="s">
        <v>1020</v>
      </c>
      <c r="E820" s="8" t="s">
        <v>1806</v>
      </c>
      <c r="F820" s="8" t="s">
        <v>2345</v>
      </c>
      <c r="G820" s="8" t="s">
        <v>2406</v>
      </c>
      <c r="H820" s="8" t="s">
        <v>2409</v>
      </c>
      <c r="I820" s="8" t="s">
        <v>2412</v>
      </c>
      <c r="J820" s="16" t="s">
        <v>2410</v>
      </c>
      <c r="K820" s="16">
        <v>80215</v>
      </c>
      <c r="L820" s="8" t="s">
        <v>2420</v>
      </c>
      <c r="M820" s="8" t="s">
        <v>3204</v>
      </c>
      <c r="N820" s="8" t="s">
        <v>3372</v>
      </c>
      <c r="O820" s="8" t="s">
        <v>3377</v>
      </c>
      <c r="P820" s="8" t="s">
        <v>3430</v>
      </c>
      <c r="Q820" s="8">
        <v>900.45</v>
      </c>
      <c r="R820" s="16">
        <v>6</v>
      </c>
      <c r="S820" s="21">
        <v>0.26</v>
      </c>
      <c r="T820" s="16">
        <v>486</v>
      </c>
    </row>
    <row r="821" spans="1:20" x14ac:dyDescent="0.3">
      <c r="A821" s="5" t="s">
        <v>839</v>
      </c>
      <c r="B821" s="12">
        <v>43998.702708333331</v>
      </c>
      <c r="C821" s="12">
        <v>44004.7027027027</v>
      </c>
      <c r="D821" s="6" t="s">
        <v>1023</v>
      </c>
      <c r="E821" s="6" t="s">
        <v>1807</v>
      </c>
      <c r="F821" s="6" t="s">
        <v>2154</v>
      </c>
      <c r="G821" s="6" t="s">
        <v>2407</v>
      </c>
      <c r="H821" s="6" t="s">
        <v>2409</v>
      </c>
      <c r="I821" s="6" t="s">
        <v>2411</v>
      </c>
      <c r="J821" s="15" t="s">
        <v>3897</v>
      </c>
      <c r="K821" s="15">
        <v>14670</v>
      </c>
      <c r="L821" s="6" t="s">
        <v>2422</v>
      </c>
      <c r="M821" s="6" t="s">
        <v>3205</v>
      </c>
      <c r="N821" s="6" t="s">
        <v>3371</v>
      </c>
      <c r="O821" s="6" t="s">
        <v>3375</v>
      </c>
      <c r="P821" s="6" t="s">
        <v>3763</v>
      </c>
      <c r="Q821" s="6">
        <v>1611.08</v>
      </c>
      <c r="R821" s="15">
        <v>10</v>
      </c>
      <c r="S821" s="20">
        <v>0.56000000000000005</v>
      </c>
      <c r="T821" s="15">
        <v>720.18</v>
      </c>
    </row>
    <row r="822" spans="1:20" x14ac:dyDescent="0.3">
      <c r="A822" s="7" t="s">
        <v>840</v>
      </c>
      <c r="B822" s="13">
        <v>43999.798796296294</v>
      </c>
      <c r="C822" s="13">
        <v>44002.798798798787</v>
      </c>
      <c r="D822" s="8" t="s">
        <v>1022</v>
      </c>
      <c r="E822" s="8" t="s">
        <v>1808</v>
      </c>
      <c r="F822" s="8" t="s">
        <v>2220</v>
      </c>
      <c r="G822" s="8" t="s">
        <v>2406</v>
      </c>
      <c r="H822" s="8" t="s">
        <v>2409</v>
      </c>
      <c r="I822" s="8" t="s">
        <v>2410</v>
      </c>
      <c r="J822" s="16" t="s">
        <v>2410</v>
      </c>
      <c r="K822" s="16">
        <v>98742</v>
      </c>
      <c r="L822" s="8" t="s">
        <v>2419</v>
      </c>
      <c r="M822" s="8" t="s">
        <v>3206</v>
      </c>
      <c r="N822" s="8" t="s">
        <v>3373</v>
      </c>
      <c r="O822" s="8" t="s">
        <v>3380</v>
      </c>
      <c r="P822" s="8" t="s">
        <v>3784</v>
      </c>
      <c r="Q822" s="8">
        <v>504.41</v>
      </c>
      <c r="R822" s="16">
        <v>9</v>
      </c>
      <c r="S822" s="21">
        <v>0.24</v>
      </c>
      <c r="T822" s="16">
        <v>199.6</v>
      </c>
    </row>
    <row r="823" spans="1:20" x14ac:dyDescent="0.3">
      <c r="A823" s="5" t="s">
        <v>841</v>
      </c>
      <c r="B823" s="12">
        <v>44000.894895833335</v>
      </c>
      <c r="C823" s="12">
        <v>44006.894894894882</v>
      </c>
      <c r="D823" s="6" t="s">
        <v>1023</v>
      </c>
      <c r="E823" s="6" t="s">
        <v>1809</v>
      </c>
      <c r="F823" s="6" t="s">
        <v>2280</v>
      </c>
      <c r="G823" s="6" t="s">
        <v>2408</v>
      </c>
      <c r="H823" s="6" t="s">
        <v>2409</v>
      </c>
      <c r="I823" s="6" t="s">
        <v>2413</v>
      </c>
      <c r="J823" s="15" t="s">
        <v>3898</v>
      </c>
      <c r="K823" s="15">
        <v>13414</v>
      </c>
      <c r="L823" s="6" t="s">
        <v>2419</v>
      </c>
      <c r="M823" s="6" t="s">
        <v>3207</v>
      </c>
      <c r="N823" s="6" t="s">
        <v>3372</v>
      </c>
      <c r="O823" s="6" t="s">
        <v>3384</v>
      </c>
      <c r="P823" s="6" t="s">
        <v>3828</v>
      </c>
      <c r="Q823" s="6">
        <v>2539.25</v>
      </c>
      <c r="R823" s="15">
        <v>13</v>
      </c>
      <c r="S823" s="20">
        <v>0.34</v>
      </c>
      <c r="T823" s="15">
        <v>140.72999999999999</v>
      </c>
    </row>
    <row r="824" spans="1:20" x14ac:dyDescent="0.3">
      <c r="A824" s="7" t="s">
        <v>842</v>
      </c>
      <c r="B824" s="13">
        <v>44001.990995370368</v>
      </c>
      <c r="C824" s="13">
        <v>44003.990990990977</v>
      </c>
      <c r="D824" s="8" t="s">
        <v>1020</v>
      </c>
      <c r="E824" s="8" t="s">
        <v>1810</v>
      </c>
      <c r="F824" s="8" t="s">
        <v>2147</v>
      </c>
      <c r="G824" s="8" t="s">
        <v>2408</v>
      </c>
      <c r="H824" s="8" t="s">
        <v>2409</v>
      </c>
      <c r="I824" s="8" t="s">
        <v>2414</v>
      </c>
      <c r="J824" s="16" t="s">
        <v>3891</v>
      </c>
      <c r="K824" s="16">
        <v>30045</v>
      </c>
      <c r="L824" s="8" t="s">
        <v>2422</v>
      </c>
      <c r="M824" s="8" t="s">
        <v>3208</v>
      </c>
      <c r="N824" s="8" t="s">
        <v>3372</v>
      </c>
      <c r="O824" s="8" t="s">
        <v>3376</v>
      </c>
      <c r="P824" s="8" t="s">
        <v>3829</v>
      </c>
      <c r="Q824" s="8">
        <v>4108.2</v>
      </c>
      <c r="R824" s="16">
        <v>5</v>
      </c>
      <c r="S824" s="21">
        <v>0.48</v>
      </c>
      <c r="T824" s="16">
        <v>-525.1</v>
      </c>
    </row>
    <row r="825" spans="1:20" x14ac:dyDescent="0.3">
      <c r="A825" s="5" t="s">
        <v>843</v>
      </c>
      <c r="B825" s="12">
        <v>44003.087083333332</v>
      </c>
      <c r="C825" s="12">
        <v>44006.087087087093</v>
      </c>
      <c r="D825" s="6" t="s">
        <v>1021</v>
      </c>
      <c r="E825" s="6" t="s">
        <v>1811</v>
      </c>
      <c r="F825" s="6" t="s">
        <v>2209</v>
      </c>
      <c r="G825" s="6" t="s">
        <v>2406</v>
      </c>
      <c r="H825" s="6" t="s">
        <v>2409</v>
      </c>
      <c r="I825" s="6" t="s">
        <v>2412</v>
      </c>
      <c r="J825" s="15" t="s">
        <v>3891</v>
      </c>
      <c r="K825" s="15">
        <v>81263</v>
      </c>
      <c r="L825" s="6" t="s">
        <v>2421</v>
      </c>
      <c r="M825" s="6" t="s">
        <v>3209</v>
      </c>
      <c r="N825" s="6" t="s">
        <v>3372</v>
      </c>
      <c r="O825" s="6" t="s">
        <v>3376</v>
      </c>
      <c r="P825" s="6" t="s">
        <v>3830</v>
      </c>
      <c r="Q825" s="6">
        <v>4780.09</v>
      </c>
      <c r="R825" s="15">
        <v>3</v>
      </c>
      <c r="S825" s="20">
        <v>0.12</v>
      </c>
      <c r="T825" s="15">
        <v>-158.16</v>
      </c>
    </row>
    <row r="826" spans="1:20" x14ac:dyDescent="0.3">
      <c r="A826" s="7" t="s">
        <v>844</v>
      </c>
      <c r="B826" s="13">
        <v>44004.183182870373</v>
      </c>
      <c r="C826" s="13">
        <v>44009.183183183181</v>
      </c>
      <c r="D826" s="8" t="s">
        <v>1021</v>
      </c>
      <c r="E826" s="8" t="s">
        <v>1812</v>
      </c>
      <c r="F826" s="8" t="s">
        <v>2267</v>
      </c>
      <c r="G826" s="8" t="s">
        <v>2406</v>
      </c>
      <c r="H826" s="8" t="s">
        <v>2409</v>
      </c>
      <c r="I826" s="8" t="s">
        <v>2411</v>
      </c>
      <c r="J826" s="16" t="s">
        <v>3897</v>
      </c>
      <c r="K826" s="16">
        <v>33900</v>
      </c>
      <c r="L826" s="8" t="s">
        <v>2422</v>
      </c>
      <c r="M826" s="8" t="s">
        <v>3210</v>
      </c>
      <c r="N826" s="8" t="s">
        <v>3372</v>
      </c>
      <c r="O826" s="8" t="s">
        <v>3384</v>
      </c>
      <c r="P826" s="8" t="s">
        <v>3479</v>
      </c>
      <c r="Q826" s="8">
        <v>2842.69</v>
      </c>
      <c r="R826" s="16">
        <v>6</v>
      </c>
      <c r="S826" s="21">
        <v>0.75</v>
      </c>
      <c r="T826" s="16">
        <v>-421.55</v>
      </c>
    </row>
    <row r="827" spans="1:20" x14ac:dyDescent="0.3">
      <c r="A827" s="5" t="s">
        <v>845</v>
      </c>
      <c r="B827" s="12">
        <v>44005.279282407406</v>
      </c>
      <c r="C827" s="12">
        <v>44009.279279279268</v>
      </c>
      <c r="D827" s="6" t="s">
        <v>1021</v>
      </c>
      <c r="E827" s="6" t="s">
        <v>1813</v>
      </c>
      <c r="F827" s="6" t="s">
        <v>2266</v>
      </c>
      <c r="G827" s="6" t="s">
        <v>2407</v>
      </c>
      <c r="H827" s="6" t="s">
        <v>2409</v>
      </c>
      <c r="I827" s="6" t="s">
        <v>2416</v>
      </c>
      <c r="J827" s="15" t="s">
        <v>3892</v>
      </c>
      <c r="K827" s="15">
        <v>96917</v>
      </c>
      <c r="L827" s="6" t="s">
        <v>2421</v>
      </c>
      <c r="M827" s="6" t="s">
        <v>3211</v>
      </c>
      <c r="N827" s="6" t="s">
        <v>3373</v>
      </c>
      <c r="O827" s="6" t="s">
        <v>3379</v>
      </c>
      <c r="P827" s="6" t="s">
        <v>3440</v>
      </c>
      <c r="Q827" s="6">
        <v>3225.42</v>
      </c>
      <c r="R827" s="15">
        <v>12</v>
      </c>
      <c r="S827" s="20">
        <v>0.34</v>
      </c>
      <c r="T827" s="15">
        <v>296.26</v>
      </c>
    </row>
    <row r="828" spans="1:20" x14ac:dyDescent="0.3">
      <c r="A828" s="7" t="s">
        <v>846</v>
      </c>
      <c r="B828" s="13">
        <v>44006.37537037037</v>
      </c>
      <c r="C828" s="13">
        <v>44008.37537537537</v>
      </c>
      <c r="D828" s="8" t="s">
        <v>1021</v>
      </c>
      <c r="E828" s="8" t="s">
        <v>1814</v>
      </c>
      <c r="F828" s="8" t="s">
        <v>2301</v>
      </c>
      <c r="G828" s="8" t="s">
        <v>2407</v>
      </c>
      <c r="H828" s="8" t="s">
        <v>2409</v>
      </c>
      <c r="I828" s="8" t="s">
        <v>2411</v>
      </c>
      <c r="J828" s="16" t="s">
        <v>3895</v>
      </c>
      <c r="K828" s="16">
        <v>90454</v>
      </c>
      <c r="L828" s="8" t="s">
        <v>2422</v>
      </c>
      <c r="M828" s="8" t="s">
        <v>3212</v>
      </c>
      <c r="N828" s="8" t="s">
        <v>3373</v>
      </c>
      <c r="O828" s="8" t="s">
        <v>3380</v>
      </c>
      <c r="P828" s="8" t="s">
        <v>3525</v>
      </c>
      <c r="Q828" s="8">
        <v>3120.5</v>
      </c>
      <c r="R828" s="16">
        <v>8</v>
      </c>
      <c r="S828" s="21">
        <v>0.74</v>
      </c>
      <c r="T828" s="16">
        <v>1681.59</v>
      </c>
    </row>
    <row r="829" spans="1:20" x14ac:dyDescent="0.3">
      <c r="A829" s="5" t="s">
        <v>847</v>
      </c>
      <c r="B829" s="12">
        <v>44007.47146990741</v>
      </c>
      <c r="C829" s="12">
        <v>44008.471471471472</v>
      </c>
      <c r="D829" s="6" t="s">
        <v>1023</v>
      </c>
      <c r="E829" s="6" t="s">
        <v>1815</v>
      </c>
      <c r="F829" s="6" t="s">
        <v>2118</v>
      </c>
      <c r="G829" s="6" t="s">
        <v>2406</v>
      </c>
      <c r="H829" s="6" t="s">
        <v>2409</v>
      </c>
      <c r="I829" s="6" t="s">
        <v>2415</v>
      </c>
      <c r="J829" s="15" t="s">
        <v>3892</v>
      </c>
      <c r="K829" s="15">
        <v>31727</v>
      </c>
      <c r="L829" s="6" t="s">
        <v>2419</v>
      </c>
      <c r="M829" s="6" t="s">
        <v>3213</v>
      </c>
      <c r="N829" s="6" t="s">
        <v>3371</v>
      </c>
      <c r="O829" s="6" t="s">
        <v>3375</v>
      </c>
      <c r="P829" s="6" t="s">
        <v>3831</v>
      </c>
      <c r="Q829" s="6">
        <v>3270.91</v>
      </c>
      <c r="R829" s="15">
        <v>11</v>
      </c>
      <c r="S829" s="20">
        <v>0.55000000000000004</v>
      </c>
      <c r="T829" s="15">
        <v>633.69000000000005</v>
      </c>
    </row>
    <row r="830" spans="1:20" x14ac:dyDescent="0.3">
      <c r="A830" s="7" t="s">
        <v>848</v>
      </c>
      <c r="B830" s="13">
        <v>44008.567569444444</v>
      </c>
      <c r="C830" s="13">
        <v>44009.567567567559</v>
      </c>
      <c r="D830" s="8" t="s">
        <v>1023</v>
      </c>
      <c r="E830" s="8" t="s">
        <v>1682</v>
      </c>
      <c r="F830" s="8" t="s">
        <v>2096</v>
      </c>
      <c r="G830" s="8" t="s">
        <v>2407</v>
      </c>
      <c r="H830" s="8" t="s">
        <v>2409</v>
      </c>
      <c r="I830" s="8" t="s">
        <v>2413</v>
      </c>
      <c r="J830" s="16" t="s">
        <v>3898</v>
      </c>
      <c r="K830" s="16">
        <v>78164</v>
      </c>
      <c r="L830" s="8" t="s">
        <v>2420</v>
      </c>
      <c r="M830" s="8" t="s">
        <v>3214</v>
      </c>
      <c r="N830" s="8" t="s">
        <v>3371</v>
      </c>
      <c r="O830" s="8" t="s">
        <v>3383</v>
      </c>
      <c r="P830" s="8" t="s">
        <v>3632</v>
      </c>
      <c r="Q830" s="8">
        <v>1687.62</v>
      </c>
      <c r="R830" s="16">
        <v>10</v>
      </c>
      <c r="S830" s="21">
        <v>0.46</v>
      </c>
      <c r="T830" s="16">
        <v>272.13</v>
      </c>
    </row>
    <row r="831" spans="1:20" x14ac:dyDescent="0.3">
      <c r="A831" s="5" t="s">
        <v>849</v>
      </c>
      <c r="B831" s="12">
        <v>44009.663668981484</v>
      </c>
      <c r="C831" s="12">
        <v>44013.663663663647</v>
      </c>
      <c r="D831" s="6" t="s">
        <v>1022</v>
      </c>
      <c r="E831" s="6" t="s">
        <v>1816</v>
      </c>
      <c r="F831" s="6" t="s">
        <v>2185</v>
      </c>
      <c r="G831" s="6" t="s">
        <v>2406</v>
      </c>
      <c r="H831" s="6" t="s">
        <v>2409</v>
      </c>
      <c r="I831" s="6" t="s">
        <v>2414</v>
      </c>
      <c r="J831" s="15" t="s">
        <v>2410</v>
      </c>
      <c r="K831" s="15">
        <v>24298</v>
      </c>
      <c r="L831" s="6" t="s">
        <v>2419</v>
      </c>
      <c r="M831" s="6" t="s">
        <v>3053</v>
      </c>
      <c r="N831" s="6" t="s">
        <v>3373</v>
      </c>
      <c r="O831" s="6" t="s">
        <v>3385</v>
      </c>
      <c r="P831" s="6" t="s">
        <v>3832</v>
      </c>
      <c r="Q831" s="6">
        <v>249.57</v>
      </c>
      <c r="R831" s="15">
        <v>7</v>
      </c>
      <c r="S831" s="20">
        <v>0.65</v>
      </c>
      <c r="T831" s="15">
        <v>119.11</v>
      </c>
    </row>
    <row r="832" spans="1:20" x14ac:dyDescent="0.3">
      <c r="A832" s="7" t="s">
        <v>850</v>
      </c>
      <c r="B832" s="13">
        <v>44010.759756944448</v>
      </c>
      <c r="C832" s="13">
        <v>44013.759759759763</v>
      </c>
      <c r="D832" s="8" t="s">
        <v>1021</v>
      </c>
      <c r="E832" s="8" t="s">
        <v>1817</v>
      </c>
      <c r="F832" s="8" t="s">
        <v>2066</v>
      </c>
      <c r="G832" s="8" t="s">
        <v>2407</v>
      </c>
      <c r="H832" s="8" t="s">
        <v>2409</v>
      </c>
      <c r="I832" s="8" t="s">
        <v>2418</v>
      </c>
      <c r="J832" s="16" t="s">
        <v>3895</v>
      </c>
      <c r="K832" s="16">
        <v>28567</v>
      </c>
      <c r="L832" s="8" t="s">
        <v>2420</v>
      </c>
      <c r="M832" s="8" t="s">
        <v>3215</v>
      </c>
      <c r="N832" s="8" t="s">
        <v>3372</v>
      </c>
      <c r="O832" s="8" t="s">
        <v>3376</v>
      </c>
      <c r="P832" s="8" t="s">
        <v>3397</v>
      </c>
      <c r="Q832" s="8">
        <v>1978.74</v>
      </c>
      <c r="R832" s="16">
        <v>4</v>
      </c>
      <c r="S832" s="21">
        <v>0.55000000000000004</v>
      </c>
      <c r="T832" s="16">
        <v>603.74</v>
      </c>
    </row>
    <row r="833" spans="1:20" x14ac:dyDescent="0.3">
      <c r="A833" s="5" t="s">
        <v>851</v>
      </c>
      <c r="B833" s="12">
        <v>44011.855856481481</v>
      </c>
      <c r="C833" s="12">
        <v>44013.855855855843</v>
      </c>
      <c r="D833" s="6" t="s">
        <v>1022</v>
      </c>
      <c r="E833" s="6" t="s">
        <v>1818</v>
      </c>
      <c r="F833" s="6" t="s">
        <v>1989</v>
      </c>
      <c r="G833" s="6" t="s">
        <v>2408</v>
      </c>
      <c r="H833" s="6" t="s">
        <v>2409</v>
      </c>
      <c r="I833" s="6" t="s">
        <v>2416</v>
      </c>
      <c r="J833" s="15" t="s">
        <v>3894</v>
      </c>
      <c r="K833" s="15">
        <v>21148</v>
      </c>
      <c r="L833" s="6" t="s">
        <v>2420</v>
      </c>
      <c r="M833" s="6" t="s">
        <v>3216</v>
      </c>
      <c r="N833" s="6" t="s">
        <v>3372</v>
      </c>
      <c r="O833" s="6" t="s">
        <v>3378</v>
      </c>
      <c r="P833" s="6" t="s">
        <v>3439</v>
      </c>
      <c r="Q833" s="6">
        <v>2059.0700000000002</v>
      </c>
      <c r="R833" s="15">
        <v>1</v>
      </c>
      <c r="S833" s="20">
        <v>0.05</v>
      </c>
      <c r="T833" s="15">
        <v>605.82000000000005</v>
      </c>
    </row>
    <row r="834" spans="1:20" x14ac:dyDescent="0.3">
      <c r="A834" s="7" t="s">
        <v>852</v>
      </c>
      <c r="B834" s="13">
        <v>44012.951956018522</v>
      </c>
      <c r="C834" s="13">
        <v>44014.951951951953</v>
      </c>
      <c r="D834" s="8" t="s">
        <v>1020</v>
      </c>
      <c r="E834" s="8" t="s">
        <v>1819</v>
      </c>
      <c r="F834" s="8" t="s">
        <v>2176</v>
      </c>
      <c r="G834" s="8" t="s">
        <v>2406</v>
      </c>
      <c r="H834" s="8" t="s">
        <v>2409</v>
      </c>
      <c r="I834" s="8" t="s">
        <v>2411</v>
      </c>
      <c r="J834" s="16" t="s">
        <v>2410</v>
      </c>
      <c r="K834" s="16">
        <v>37832</v>
      </c>
      <c r="L834" s="8" t="s">
        <v>2419</v>
      </c>
      <c r="M834" s="8" t="s">
        <v>3217</v>
      </c>
      <c r="N834" s="8" t="s">
        <v>3373</v>
      </c>
      <c r="O834" s="8" t="s">
        <v>3385</v>
      </c>
      <c r="P834" s="8" t="s">
        <v>3524</v>
      </c>
      <c r="Q834" s="8">
        <v>2519.79</v>
      </c>
      <c r="R834" s="16">
        <v>2</v>
      </c>
      <c r="S834" s="21">
        <v>0.16</v>
      </c>
      <c r="T834" s="16">
        <v>941.03</v>
      </c>
    </row>
    <row r="835" spans="1:20" x14ac:dyDescent="0.3">
      <c r="A835" s="5" t="s">
        <v>853</v>
      </c>
      <c r="B835" s="12">
        <v>44014.048043981478</v>
      </c>
      <c r="C835" s="12">
        <v>44016.048048048047</v>
      </c>
      <c r="D835" s="6" t="s">
        <v>1021</v>
      </c>
      <c r="E835" s="6" t="s">
        <v>1820</v>
      </c>
      <c r="F835" s="6" t="s">
        <v>2075</v>
      </c>
      <c r="G835" s="6" t="s">
        <v>2408</v>
      </c>
      <c r="H835" s="6" t="s">
        <v>2409</v>
      </c>
      <c r="I835" s="6" t="s">
        <v>2413</v>
      </c>
      <c r="J835" s="15" t="s">
        <v>3892</v>
      </c>
      <c r="K835" s="15">
        <v>82864</v>
      </c>
      <c r="L835" s="6" t="s">
        <v>2421</v>
      </c>
      <c r="M835" s="6" t="s">
        <v>3218</v>
      </c>
      <c r="N835" s="6" t="s">
        <v>3373</v>
      </c>
      <c r="O835" s="6" t="s">
        <v>3379</v>
      </c>
      <c r="P835" s="6" t="s">
        <v>3543</v>
      </c>
      <c r="Q835" s="6">
        <v>3487.41</v>
      </c>
      <c r="R835" s="15">
        <v>10</v>
      </c>
      <c r="S835" s="20">
        <v>0.61</v>
      </c>
      <c r="T835" s="15">
        <v>-289.64999999999998</v>
      </c>
    </row>
    <row r="836" spans="1:20" x14ac:dyDescent="0.3">
      <c r="A836" s="7" t="s">
        <v>854</v>
      </c>
      <c r="B836" s="13">
        <v>44015.144143518519</v>
      </c>
      <c r="C836" s="13">
        <v>44019.144144144142</v>
      </c>
      <c r="D836" s="8" t="s">
        <v>1023</v>
      </c>
      <c r="E836" s="8" t="s">
        <v>1821</v>
      </c>
      <c r="F836" s="8" t="s">
        <v>2378</v>
      </c>
      <c r="G836" s="8" t="s">
        <v>2406</v>
      </c>
      <c r="H836" s="8" t="s">
        <v>2409</v>
      </c>
      <c r="I836" s="8" t="s">
        <v>2414</v>
      </c>
      <c r="J836" s="16" t="s">
        <v>3897</v>
      </c>
      <c r="K836" s="16">
        <v>36525</v>
      </c>
      <c r="L836" s="8" t="s">
        <v>2421</v>
      </c>
      <c r="M836" s="8" t="s">
        <v>3219</v>
      </c>
      <c r="N836" s="8" t="s">
        <v>3371</v>
      </c>
      <c r="O836" s="8" t="s">
        <v>3382</v>
      </c>
      <c r="P836" s="8" t="s">
        <v>3645</v>
      </c>
      <c r="Q836" s="8">
        <v>2004.22</v>
      </c>
      <c r="R836" s="16">
        <v>4</v>
      </c>
      <c r="S836" s="21">
        <v>0.73</v>
      </c>
      <c r="T836" s="16">
        <v>1120.7</v>
      </c>
    </row>
    <row r="837" spans="1:20" x14ac:dyDescent="0.3">
      <c r="A837" s="5" t="s">
        <v>855</v>
      </c>
      <c r="B837" s="12">
        <v>44016.240243055552</v>
      </c>
      <c r="C837" s="12">
        <v>44020.240240240229</v>
      </c>
      <c r="D837" s="6" t="s">
        <v>1023</v>
      </c>
      <c r="E837" s="6" t="s">
        <v>1822</v>
      </c>
      <c r="F837" s="6" t="s">
        <v>2080</v>
      </c>
      <c r="G837" s="6" t="s">
        <v>2406</v>
      </c>
      <c r="H837" s="6" t="s">
        <v>2409</v>
      </c>
      <c r="I837" s="6" t="s">
        <v>2415</v>
      </c>
      <c r="J837" s="15" t="s">
        <v>3892</v>
      </c>
      <c r="K837" s="15">
        <v>73076</v>
      </c>
      <c r="L837" s="6" t="s">
        <v>2420</v>
      </c>
      <c r="M837" s="6" t="s">
        <v>3220</v>
      </c>
      <c r="N837" s="6" t="s">
        <v>3371</v>
      </c>
      <c r="O837" s="6" t="s">
        <v>3382</v>
      </c>
      <c r="P837" s="6" t="s">
        <v>3711</v>
      </c>
      <c r="Q837" s="6">
        <v>1594.24</v>
      </c>
      <c r="R837" s="15">
        <v>4</v>
      </c>
      <c r="S837" s="20">
        <v>0.64</v>
      </c>
      <c r="T837" s="15">
        <v>724.81</v>
      </c>
    </row>
    <row r="838" spans="1:20" x14ac:dyDescent="0.3">
      <c r="A838" s="7" t="s">
        <v>856</v>
      </c>
      <c r="B838" s="13">
        <v>44017.336331018516</v>
      </c>
      <c r="C838" s="13">
        <v>44022.336336336331</v>
      </c>
      <c r="D838" s="8" t="s">
        <v>1023</v>
      </c>
      <c r="E838" s="8" t="s">
        <v>1823</v>
      </c>
      <c r="F838" s="8" t="s">
        <v>1987</v>
      </c>
      <c r="G838" s="8" t="s">
        <v>2407</v>
      </c>
      <c r="H838" s="8" t="s">
        <v>2409</v>
      </c>
      <c r="I838" s="8" t="s">
        <v>2418</v>
      </c>
      <c r="J838" s="16" t="s">
        <v>3893</v>
      </c>
      <c r="K838" s="16">
        <v>97979</v>
      </c>
      <c r="L838" s="8" t="s">
        <v>2420</v>
      </c>
      <c r="M838" s="8" t="s">
        <v>3221</v>
      </c>
      <c r="N838" s="8" t="s">
        <v>3373</v>
      </c>
      <c r="O838" s="8" t="s">
        <v>3385</v>
      </c>
      <c r="P838" s="8" t="s">
        <v>3833</v>
      </c>
      <c r="Q838" s="8">
        <v>4780.46</v>
      </c>
      <c r="R838" s="16">
        <v>12</v>
      </c>
      <c r="S838" s="21">
        <v>0.62</v>
      </c>
      <c r="T838" s="16">
        <v>1591.83</v>
      </c>
    </row>
    <row r="839" spans="1:20" x14ac:dyDescent="0.3">
      <c r="A839" s="5" t="s">
        <v>857</v>
      </c>
      <c r="B839" s="12">
        <v>44018.432430555556</v>
      </c>
      <c r="C839" s="12">
        <v>44020.432432432433</v>
      </c>
      <c r="D839" s="6" t="s">
        <v>1020</v>
      </c>
      <c r="E839" s="6" t="s">
        <v>1824</v>
      </c>
      <c r="F839" s="6" t="s">
        <v>2379</v>
      </c>
      <c r="G839" s="6" t="s">
        <v>2408</v>
      </c>
      <c r="H839" s="6" t="s">
        <v>2409</v>
      </c>
      <c r="I839" s="6" t="s">
        <v>2410</v>
      </c>
      <c r="J839" s="15" t="s">
        <v>3898</v>
      </c>
      <c r="K839" s="15">
        <v>16763</v>
      </c>
      <c r="L839" s="6" t="s">
        <v>2421</v>
      </c>
      <c r="M839" s="6" t="s">
        <v>2445</v>
      </c>
      <c r="N839" s="6" t="s">
        <v>3373</v>
      </c>
      <c r="O839" s="6" t="s">
        <v>3379</v>
      </c>
      <c r="P839" s="6" t="s">
        <v>3413</v>
      </c>
      <c r="Q839" s="6">
        <v>1003.04</v>
      </c>
      <c r="R839" s="15">
        <v>7</v>
      </c>
      <c r="S839" s="20">
        <v>0.38</v>
      </c>
      <c r="T839" s="15">
        <v>112.22</v>
      </c>
    </row>
    <row r="840" spans="1:20" x14ac:dyDescent="0.3">
      <c r="A840" s="7" t="s">
        <v>858</v>
      </c>
      <c r="B840" s="13">
        <v>44019.52853009259</v>
      </c>
      <c r="C840" s="13">
        <v>44024.528528528521</v>
      </c>
      <c r="D840" s="8" t="s">
        <v>1021</v>
      </c>
      <c r="E840" s="8" t="s">
        <v>1825</v>
      </c>
      <c r="F840" s="8" t="s">
        <v>2380</v>
      </c>
      <c r="G840" s="8" t="s">
        <v>2406</v>
      </c>
      <c r="H840" s="8" t="s">
        <v>2409</v>
      </c>
      <c r="I840" s="8" t="s">
        <v>2415</v>
      </c>
      <c r="J840" s="16" t="s">
        <v>3892</v>
      </c>
      <c r="K840" s="16">
        <v>64310</v>
      </c>
      <c r="L840" s="8" t="s">
        <v>2419</v>
      </c>
      <c r="M840" s="8" t="s">
        <v>3222</v>
      </c>
      <c r="N840" s="8" t="s">
        <v>3371</v>
      </c>
      <c r="O840" s="8" t="s">
        <v>3375</v>
      </c>
      <c r="P840" s="8" t="s">
        <v>3527</v>
      </c>
      <c r="Q840" s="8">
        <v>2743.37</v>
      </c>
      <c r="R840" s="16">
        <v>7</v>
      </c>
      <c r="S840" s="21">
        <v>0.13</v>
      </c>
      <c r="T840" s="16">
        <v>1036.81</v>
      </c>
    </row>
    <row r="841" spans="1:20" x14ac:dyDescent="0.3">
      <c r="A841" s="5" t="s">
        <v>859</v>
      </c>
      <c r="B841" s="12">
        <v>44020.62462962963</v>
      </c>
      <c r="C841" s="12">
        <v>44024.624624624623</v>
      </c>
      <c r="D841" s="6" t="s">
        <v>1023</v>
      </c>
      <c r="E841" s="6" t="s">
        <v>1826</v>
      </c>
      <c r="F841" s="6" t="s">
        <v>2201</v>
      </c>
      <c r="G841" s="6" t="s">
        <v>2406</v>
      </c>
      <c r="H841" s="6" t="s">
        <v>2409</v>
      </c>
      <c r="I841" s="6" t="s">
        <v>2418</v>
      </c>
      <c r="J841" s="15" t="s">
        <v>3897</v>
      </c>
      <c r="K841" s="15">
        <v>25613</v>
      </c>
      <c r="L841" s="6" t="s">
        <v>2422</v>
      </c>
      <c r="M841" s="6" t="s">
        <v>3223</v>
      </c>
      <c r="N841" s="6" t="s">
        <v>3373</v>
      </c>
      <c r="O841" s="6" t="s">
        <v>3380</v>
      </c>
      <c r="P841" s="6" t="s">
        <v>3412</v>
      </c>
      <c r="Q841" s="6">
        <v>1828.69</v>
      </c>
      <c r="R841" s="15">
        <v>7</v>
      </c>
      <c r="S841" s="20">
        <v>0.13</v>
      </c>
      <c r="T841" s="15">
        <v>436.43</v>
      </c>
    </row>
    <row r="842" spans="1:20" x14ac:dyDescent="0.3">
      <c r="A842" s="7" t="s">
        <v>860</v>
      </c>
      <c r="B842" s="13">
        <v>44021.720717592594</v>
      </c>
      <c r="C842" s="13">
        <v>44027.720720720718</v>
      </c>
      <c r="D842" s="8" t="s">
        <v>1022</v>
      </c>
      <c r="E842" s="8" t="s">
        <v>1827</v>
      </c>
      <c r="F842" s="8" t="s">
        <v>2298</v>
      </c>
      <c r="G842" s="8" t="s">
        <v>2406</v>
      </c>
      <c r="H842" s="8" t="s">
        <v>2409</v>
      </c>
      <c r="I842" s="8" t="s">
        <v>2413</v>
      </c>
      <c r="J842" s="16" t="s">
        <v>3892</v>
      </c>
      <c r="K842" s="16">
        <v>60574</v>
      </c>
      <c r="L842" s="8" t="s">
        <v>2421</v>
      </c>
      <c r="M842" s="8" t="s">
        <v>3224</v>
      </c>
      <c r="N842" s="8" t="s">
        <v>3371</v>
      </c>
      <c r="O842" s="8" t="s">
        <v>3375</v>
      </c>
      <c r="P842" s="8" t="s">
        <v>3728</v>
      </c>
      <c r="Q842" s="8">
        <v>1117.68</v>
      </c>
      <c r="R842" s="16">
        <v>13</v>
      </c>
      <c r="S842" s="21">
        <v>0.24</v>
      </c>
      <c r="T842" s="16">
        <v>593.51</v>
      </c>
    </row>
    <row r="843" spans="1:20" x14ac:dyDescent="0.3">
      <c r="A843" s="5" t="s">
        <v>861</v>
      </c>
      <c r="B843" s="12">
        <v>44022.816817129627</v>
      </c>
      <c r="C843" s="12">
        <v>44028.816816816798</v>
      </c>
      <c r="D843" s="6" t="s">
        <v>1021</v>
      </c>
      <c r="E843" s="6" t="s">
        <v>1828</v>
      </c>
      <c r="F843" s="6" t="s">
        <v>2381</v>
      </c>
      <c r="G843" s="6" t="s">
        <v>2406</v>
      </c>
      <c r="H843" s="6" t="s">
        <v>2409</v>
      </c>
      <c r="I843" s="6" t="s">
        <v>2414</v>
      </c>
      <c r="J843" s="15" t="s">
        <v>3897</v>
      </c>
      <c r="K843" s="15">
        <v>86575</v>
      </c>
      <c r="L843" s="6" t="s">
        <v>2421</v>
      </c>
      <c r="M843" s="6" t="s">
        <v>3225</v>
      </c>
      <c r="N843" s="6" t="s">
        <v>3371</v>
      </c>
      <c r="O843" s="6" t="s">
        <v>3375</v>
      </c>
      <c r="P843" s="6" t="s">
        <v>3584</v>
      </c>
      <c r="Q843" s="6">
        <v>4645.41</v>
      </c>
      <c r="R843" s="15">
        <v>12</v>
      </c>
      <c r="S843" s="20">
        <v>0.59</v>
      </c>
      <c r="T843" s="15">
        <v>1782.43</v>
      </c>
    </row>
    <row r="844" spans="1:20" x14ac:dyDescent="0.3">
      <c r="A844" s="7" t="s">
        <v>862</v>
      </c>
      <c r="B844" s="13">
        <v>44023.912916666668</v>
      </c>
      <c r="C844" s="13">
        <v>44025.912912912907</v>
      </c>
      <c r="D844" s="8" t="s">
        <v>1022</v>
      </c>
      <c r="E844" s="8" t="s">
        <v>1829</v>
      </c>
      <c r="F844" s="8" t="s">
        <v>2244</v>
      </c>
      <c r="G844" s="8" t="s">
        <v>2407</v>
      </c>
      <c r="H844" s="8" t="s">
        <v>2409</v>
      </c>
      <c r="I844" s="8" t="s">
        <v>2414</v>
      </c>
      <c r="J844" s="16" t="s">
        <v>3893</v>
      </c>
      <c r="K844" s="16">
        <v>38934</v>
      </c>
      <c r="L844" s="8" t="s">
        <v>2420</v>
      </c>
      <c r="M844" s="8" t="s">
        <v>3226</v>
      </c>
      <c r="N844" s="8" t="s">
        <v>3372</v>
      </c>
      <c r="O844" s="8" t="s">
        <v>3384</v>
      </c>
      <c r="P844" s="8" t="s">
        <v>3695</v>
      </c>
      <c r="Q844" s="8">
        <v>3264.13</v>
      </c>
      <c r="R844" s="16">
        <v>14</v>
      </c>
      <c r="S844" s="21">
        <v>0.43</v>
      </c>
      <c r="T844" s="16">
        <v>50.01</v>
      </c>
    </row>
    <row r="845" spans="1:20" x14ac:dyDescent="0.3">
      <c r="A845" s="5" t="s">
        <v>863</v>
      </c>
      <c r="B845" s="12">
        <v>44025.009004629632</v>
      </c>
      <c r="C845" s="12">
        <v>44029.009009009002</v>
      </c>
      <c r="D845" s="6" t="s">
        <v>1021</v>
      </c>
      <c r="E845" s="6" t="s">
        <v>1830</v>
      </c>
      <c r="F845" s="6" t="s">
        <v>2382</v>
      </c>
      <c r="G845" s="6" t="s">
        <v>2408</v>
      </c>
      <c r="H845" s="6" t="s">
        <v>2409</v>
      </c>
      <c r="I845" s="6" t="s">
        <v>2417</v>
      </c>
      <c r="J845" s="15" t="s">
        <v>3896</v>
      </c>
      <c r="K845" s="15">
        <v>50293</v>
      </c>
      <c r="L845" s="6" t="s">
        <v>2421</v>
      </c>
      <c r="M845" s="6" t="s">
        <v>3227</v>
      </c>
      <c r="N845" s="6" t="s">
        <v>3373</v>
      </c>
      <c r="O845" s="6" t="s">
        <v>3380</v>
      </c>
      <c r="P845" s="6" t="s">
        <v>3834</v>
      </c>
      <c r="Q845" s="6">
        <v>4005.99</v>
      </c>
      <c r="R845" s="15">
        <v>8</v>
      </c>
      <c r="S845" s="20">
        <v>7.0000000000000007E-2</v>
      </c>
      <c r="T845" s="15">
        <v>1348.95</v>
      </c>
    </row>
    <row r="846" spans="1:20" x14ac:dyDescent="0.3">
      <c r="A846" s="7" t="s">
        <v>864</v>
      </c>
      <c r="B846" s="13">
        <v>44026.105104166665</v>
      </c>
      <c r="C846" s="13">
        <v>44028.105105105104</v>
      </c>
      <c r="D846" s="8" t="s">
        <v>1021</v>
      </c>
      <c r="E846" s="8" t="s">
        <v>1831</v>
      </c>
      <c r="F846" s="8" t="s">
        <v>2383</v>
      </c>
      <c r="G846" s="8" t="s">
        <v>2406</v>
      </c>
      <c r="H846" s="8" t="s">
        <v>2409</v>
      </c>
      <c r="I846" s="8" t="s">
        <v>2418</v>
      </c>
      <c r="J846" s="16" t="s">
        <v>3897</v>
      </c>
      <c r="K846" s="16">
        <v>53839</v>
      </c>
      <c r="L846" s="8" t="s">
        <v>2420</v>
      </c>
      <c r="M846" s="8" t="s">
        <v>3228</v>
      </c>
      <c r="N846" s="8" t="s">
        <v>3373</v>
      </c>
      <c r="O846" s="8" t="s">
        <v>3379</v>
      </c>
      <c r="P846" s="8" t="s">
        <v>3516</v>
      </c>
      <c r="Q846" s="8">
        <v>1517.3</v>
      </c>
      <c r="R846" s="16">
        <v>13</v>
      </c>
      <c r="S846" s="21">
        <v>7.0000000000000007E-2</v>
      </c>
      <c r="T846" s="16">
        <v>832.47</v>
      </c>
    </row>
    <row r="847" spans="1:20" x14ac:dyDescent="0.3">
      <c r="A847" s="5" t="s">
        <v>865</v>
      </c>
      <c r="B847" s="12">
        <v>44027.201203703706</v>
      </c>
      <c r="C847" s="12">
        <v>44030.201201201191</v>
      </c>
      <c r="D847" s="6" t="s">
        <v>1022</v>
      </c>
      <c r="E847" s="6" t="s">
        <v>1832</v>
      </c>
      <c r="F847" s="6" t="s">
        <v>2191</v>
      </c>
      <c r="G847" s="6" t="s">
        <v>2408</v>
      </c>
      <c r="H847" s="6" t="s">
        <v>2409</v>
      </c>
      <c r="I847" s="6" t="s">
        <v>2418</v>
      </c>
      <c r="J847" s="15" t="s">
        <v>3898</v>
      </c>
      <c r="K847" s="15">
        <v>86097</v>
      </c>
      <c r="L847" s="6" t="s">
        <v>2420</v>
      </c>
      <c r="M847" s="6" t="s">
        <v>3229</v>
      </c>
      <c r="N847" s="6" t="s">
        <v>3371</v>
      </c>
      <c r="O847" s="6" t="s">
        <v>3382</v>
      </c>
      <c r="P847" s="6" t="s">
        <v>3469</v>
      </c>
      <c r="Q847" s="6">
        <v>951.94</v>
      </c>
      <c r="R847" s="15">
        <v>11</v>
      </c>
      <c r="S847" s="20">
        <v>0.7</v>
      </c>
      <c r="T847" s="15">
        <v>-134.6</v>
      </c>
    </row>
    <row r="848" spans="1:20" x14ac:dyDescent="0.3">
      <c r="A848" s="7" t="s">
        <v>866</v>
      </c>
      <c r="B848" s="13">
        <v>44028.297291666669</v>
      </c>
      <c r="C848" s="13">
        <v>44034.297297297293</v>
      </c>
      <c r="D848" s="8" t="s">
        <v>1020</v>
      </c>
      <c r="E848" s="8" t="s">
        <v>1297</v>
      </c>
      <c r="F848" s="8" t="s">
        <v>2161</v>
      </c>
      <c r="G848" s="8" t="s">
        <v>2407</v>
      </c>
      <c r="H848" s="8" t="s">
        <v>2409</v>
      </c>
      <c r="I848" s="8" t="s">
        <v>2412</v>
      </c>
      <c r="J848" s="16" t="s">
        <v>3897</v>
      </c>
      <c r="K848" s="16">
        <v>30341</v>
      </c>
      <c r="L848" s="8" t="s">
        <v>2422</v>
      </c>
      <c r="M848" s="8" t="s">
        <v>3230</v>
      </c>
      <c r="N848" s="8" t="s">
        <v>3371</v>
      </c>
      <c r="O848" s="8" t="s">
        <v>3383</v>
      </c>
      <c r="P848" s="8" t="s">
        <v>3390</v>
      </c>
      <c r="Q848" s="8">
        <v>3038.2</v>
      </c>
      <c r="R848" s="16">
        <v>8</v>
      </c>
      <c r="S848" s="21">
        <v>0.7</v>
      </c>
      <c r="T848" s="16">
        <v>299.95999999999998</v>
      </c>
    </row>
    <row r="849" spans="1:20" x14ac:dyDescent="0.3">
      <c r="A849" s="5" t="s">
        <v>867</v>
      </c>
      <c r="B849" s="12">
        <v>44029.393391203703</v>
      </c>
      <c r="C849" s="12">
        <v>44035.393393393388</v>
      </c>
      <c r="D849" s="6" t="s">
        <v>1021</v>
      </c>
      <c r="E849" s="6" t="s">
        <v>1376</v>
      </c>
      <c r="F849" s="6" t="s">
        <v>2048</v>
      </c>
      <c r="G849" s="6" t="s">
        <v>2406</v>
      </c>
      <c r="H849" s="6" t="s">
        <v>2409</v>
      </c>
      <c r="I849" s="6" t="s">
        <v>2416</v>
      </c>
      <c r="J849" s="15" t="s">
        <v>3894</v>
      </c>
      <c r="K849" s="15">
        <v>44231</v>
      </c>
      <c r="L849" s="6" t="s">
        <v>2419</v>
      </c>
      <c r="M849" s="6" t="s">
        <v>3231</v>
      </c>
      <c r="N849" s="6" t="s">
        <v>3371</v>
      </c>
      <c r="O849" s="6" t="s">
        <v>3382</v>
      </c>
      <c r="P849" s="6" t="s">
        <v>3763</v>
      </c>
      <c r="Q849" s="6">
        <v>2727.41</v>
      </c>
      <c r="R849" s="15">
        <v>5</v>
      </c>
      <c r="S849" s="20">
        <v>0.09</v>
      </c>
      <c r="T849" s="15">
        <v>-311.58999999999997</v>
      </c>
    </row>
    <row r="850" spans="1:20" x14ac:dyDescent="0.3">
      <c r="A850" s="7" t="s">
        <v>868</v>
      </c>
      <c r="B850" s="13">
        <v>44030.489490740743</v>
      </c>
      <c r="C850" s="13">
        <v>44035.489489489482</v>
      </c>
      <c r="D850" s="8" t="s">
        <v>1021</v>
      </c>
      <c r="E850" s="8" t="s">
        <v>1833</v>
      </c>
      <c r="F850" s="8" t="s">
        <v>1987</v>
      </c>
      <c r="G850" s="8" t="s">
        <v>2406</v>
      </c>
      <c r="H850" s="8" t="s">
        <v>2409</v>
      </c>
      <c r="I850" s="8" t="s">
        <v>2413</v>
      </c>
      <c r="J850" s="16" t="s">
        <v>2410</v>
      </c>
      <c r="K850" s="16">
        <v>92638</v>
      </c>
      <c r="L850" s="8" t="s">
        <v>2422</v>
      </c>
      <c r="M850" s="8" t="s">
        <v>3232</v>
      </c>
      <c r="N850" s="8" t="s">
        <v>3373</v>
      </c>
      <c r="O850" s="8" t="s">
        <v>3385</v>
      </c>
      <c r="P850" s="8" t="s">
        <v>3835</v>
      </c>
      <c r="Q850" s="8">
        <v>925.89</v>
      </c>
      <c r="R850" s="16">
        <v>3</v>
      </c>
      <c r="S850" s="21">
        <v>0.57999999999999996</v>
      </c>
      <c r="T850" s="16">
        <v>278.38</v>
      </c>
    </row>
    <row r="851" spans="1:20" x14ac:dyDescent="0.3">
      <c r="A851" s="5" t="s">
        <v>869</v>
      </c>
      <c r="B851" s="12">
        <v>44031.585590277777</v>
      </c>
      <c r="C851" s="12">
        <v>44036.585585585577</v>
      </c>
      <c r="D851" s="6" t="s">
        <v>1022</v>
      </c>
      <c r="E851" s="6" t="s">
        <v>1834</v>
      </c>
      <c r="F851" s="6" t="s">
        <v>2329</v>
      </c>
      <c r="G851" s="6" t="s">
        <v>2407</v>
      </c>
      <c r="H851" s="6" t="s">
        <v>2409</v>
      </c>
      <c r="I851" s="6" t="s">
        <v>2415</v>
      </c>
      <c r="J851" s="15" t="s">
        <v>3893</v>
      </c>
      <c r="K851" s="15">
        <v>57840</v>
      </c>
      <c r="L851" s="6" t="s">
        <v>2421</v>
      </c>
      <c r="M851" s="6" t="s">
        <v>3233</v>
      </c>
      <c r="N851" s="6" t="s">
        <v>3371</v>
      </c>
      <c r="O851" s="6" t="s">
        <v>3374</v>
      </c>
      <c r="P851" s="6" t="s">
        <v>3595</v>
      </c>
      <c r="Q851" s="6">
        <v>1724.97</v>
      </c>
      <c r="R851" s="15">
        <v>10</v>
      </c>
      <c r="S851" s="20">
        <v>0.69</v>
      </c>
      <c r="T851" s="15">
        <v>222.53</v>
      </c>
    </row>
    <row r="852" spans="1:20" x14ac:dyDescent="0.3">
      <c r="A852" s="7" t="s">
        <v>870</v>
      </c>
      <c r="B852" s="13">
        <v>44032.68167824074</v>
      </c>
      <c r="C852" s="13">
        <v>44036.681681681679</v>
      </c>
      <c r="D852" s="8" t="s">
        <v>1020</v>
      </c>
      <c r="E852" s="8" t="s">
        <v>1835</v>
      </c>
      <c r="F852" s="8" t="s">
        <v>2278</v>
      </c>
      <c r="G852" s="8" t="s">
        <v>2407</v>
      </c>
      <c r="H852" s="8" t="s">
        <v>2409</v>
      </c>
      <c r="I852" s="8" t="s">
        <v>2418</v>
      </c>
      <c r="J852" s="16" t="s">
        <v>3895</v>
      </c>
      <c r="K852" s="16">
        <v>77396</v>
      </c>
      <c r="L852" s="8" t="s">
        <v>2422</v>
      </c>
      <c r="M852" s="8" t="s">
        <v>3234</v>
      </c>
      <c r="N852" s="8" t="s">
        <v>3373</v>
      </c>
      <c r="O852" s="8" t="s">
        <v>3379</v>
      </c>
      <c r="P852" s="8" t="s">
        <v>3631</v>
      </c>
      <c r="Q852" s="8">
        <v>1693.86</v>
      </c>
      <c r="R852" s="16">
        <v>14</v>
      </c>
      <c r="S852" s="21">
        <v>0.28000000000000003</v>
      </c>
      <c r="T852" s="16">
        <v>-3.15</v>
      </c>
    </row>
    <row r="853" spans="1:20" x14ac:dyDescent="0.3">
      <c r="A853" s="5" t="s">
        <v>871</v>
      </c>
      <c r="B853" s="12">
        <v>44033.777777777781</v>
      </c>
      <c r="C853" s="12">
        <v>44035.777777777781</v>
      </c>
      <c r="D853" s="6" t="s">
        <v>1021</v>
      </c>
      <c r="E853" s="6" t="s">
        <v>1836</v>
      </c>
      <c r="F853" s="6" t="s">
        <v>2171</v>
      </c>
      <c r="G853" s="6" t="s">
        <v>2406</v>
      </c>
      <c r="H853" s="6" t="s">
        <v>2409</v>
      </c>
      <c r="I853" s="6" t="s">
        <v>2418</v>
      </c>
      <c r="J853" s="15" t="s">
        <v>3893</v>
      </c>
      <c r="K853" s="15">
        <v>71308</v>
      </c>
      <c r="L853" s="6" t="s">
        <v>2419</v>
      </c>
      <c r="M853" s="6" t="s">
        <v>3235</v>
      </c>
      <c r="N853" s="6" t="s">
        <v>3373</v>
      </c>
      <c r="O853" s="6" t="s">
        <v>3379</v>
      </c>
      <c r="P853" s="6" t="s">
        <v>3807</v>
      </c>
      <c r="Q853" s="6">
        <v>841.4</v>
      </c>
      <c r="R853" s="15">
        <v>6</v>
      </c>
      <c r="S853" s="20">
        <v>0.31</v>
      </c>
      <c r="T853" s="15">
        <v>104.98</v>
      </c>
    </row>
    <row r="854" spans="1:20" x14ac:dyDescent="0.3">
      <c r="A854" s="7" t="s">
        <v>872</v>
      </c>
      <c r="B854" s="13">
        <v>44034.873877314814</v>
      </c>
      <c r="C854" s="13">
        <v>44037.873873873868</v>
      </c>
      <c r="D854" s="8" t="s">
        <v>1022</v>
      </c>
      <c r="E854" s="8" t="s">
        <v>1837</v>
      </c>
      <c r="F854" s="8" t="s">
        <v>1998</v>
      </c>
      <c r="G854" s="8" t="s">
        <v>2408</v>
      </c>
      <c r="H854" s="8" t="s">
        <v>2409</v>
      </c>
      <c r="I854" s="8" t="s">
        <v>2418</v>
      </c>
      <c r="J854" s="16" t="s">
        <v>3896</v>
      </c>
      <c r="K854" s="16">
        <v>43203</v>
      </c>
      <c r="L854" s="8" t="s">
        <v>2421</v>
      </c>
      <c r="M854" s="8" t="s">
        <v>3236</v>
      </c>
      <c r="N854" s="8" t="s">
        <v>3371</v>
      </c>
      <c r="O854" s="8" t="s">
        <v>3375</v>
      </c>
      <c r="P854" s="8" t="s">
        <v>3710</v>
      </c>
      <c r="Q854" s="8">
        <v>1776.68</v>
      </c>
      <c r="R854" s="16">
        <v>3</v>
      </c>
      <c r="S854" s="21">
        <v>0.51</v>
      </c>
      <c r="T854" s="16">
        <v>902.54</v>
      </c>
    </row>
    <row r="855" spans="1:20" x14ac:dyDescent="0.3">
      <c r="A855" s="5" t="s">
        <v>873</v>
      </c>
      <c r="B855" s="12">
        <v>44035.969965277778</v>
      </c>
      <c r="C855" s="12">
        <v>44036.969969969963</v>
      </c>
      <c r="D855" s="6" t="s">
        <v>1021</v>
      </c>
      <c r="E855" s="6" t="s">
        <v>1838</v>
      </c>
      <c r="F855" s="6" t="s">
        <v>2384</v>
      </c>
      <c r="G855" s="6" t="s">
        <v>2408</v>
      </c>
      <c r="H855" s="6" t="s">
        <v>2409</v>
      </c>
      <c r="I855" s="6" t="s">
        <v>2417</v>
      </c>
      <c r="J855" s="15" t="s">
        <v>2410</v>
      </c>
      <c r="K855" s="15">
        <v>61329</v>
      </c>
      <c r="L855" s="6" t="s">
        <v>2420</v>
      </c>
      <c r="M855" s="6" t="s">
        <v>3237</v>
      </c>
      <c r="N855" s="6" t="s">
        <v>3371</v>
      </c>
      <c r="O855" s="6" t="s">
        <v>3375</v>
      </c>
      <c r="P855" s="6" t="s">
        <v>3795</v>
      </c>
      <c r="Q855" s="6">
        <v>4087.67</v>
      </c>
      <c r="R855" s="15">
        <v>7</v>
      </c>
      <c r="S855" s="20">
        <v>0.51</v>
      </c>
      <c r="T855" s="15">
        <v>851.65</v>
      </c>
    </row>
    <row r="856" spans="1:20" x14ac:dyDescent="0.3">
      <c r="A856" s="7" t="s">
        <v>874</v>
      </c>
      <c r="B856" s="13">
        <v>44037.066064814811</v>
      </c>
      <c r="C856" s="13">
        <v>44041.066066066072</v>
      </c>
      <c r="D856" s="8" t="s">
        <v>1022</v>
      </c>
      <c r="E856" s="8" t="s">
        <v>1839</v>
      </c>
      <c r="F856" s="8" t="s">
        <v>2385</v>
      </c>
      <c r="G856" s="8" t="s">
        <v>2408</v>
      </c>
      <c r="H856" s="8" t="s">
        <v>2409</v>
      </c>
      <c r="I856" s="8" t="s">
        <v>2410</v>
      </c>
      <c r="J856" s="16" t="s">
        <v>3896</v>
      </c>
      <c r="K856" s="16">
        <v>92595</v>
      </c>
      <c r="L856" s="8" t="s">
        <v>2419</v>
      </c>
      <c r="M856" s="8" t="s">
        <v>3238</v>
      </c>
      <c r="N856" s="8" t="s">
        <v>3373</v>
      </c>
      <c r="O856" s="8" t="s">
        <v>3380</v>
      </c>
      <c r="P856" s="8" t="s">
        <v>3836</v>
      </c>
      <c r="Q856" s="8">
        <v>2563.02</v>
      </c>
      <c r="R856" s="16">
        <v>5</v>
      </c>
      <c r="S856" s="21">
        <v>0.78</v>
      </c>
      <c r="T856" s="16">
        <v>-185.46</v>
      </c>
    </row>
    <row r="857" spans="1:20" x14ac:dyDescent="0.3">
      <c r="A857" s="5" t="s">
        <v>875</v>
      </c>
      <c r="B857" s="12">
        <v>44038.162164351852</v>
      </c>
      <c r="C857" s="12">
        <v>44043.162162162153</v>
      </c>
      <c r="D857" s="6" t="s">
        <v>1020</v>
      </c>
      <c r="E857" s="6" t="s">
        <v>1840</v>
      </c>
      <c r="F857" s="6" t="s">
        <v>2284</v>
      </c>
      <c r="G857" s="6" t="s">
        <v>2408</v>
      </c>
      <c r="H857" s="6" t="s">
        <v>2409</v>
      </c>
      <c r="I857" s="6" t="s">
        <v>2413</v>
      </c>
      <c r="J857" s="15" t="s">
        <v>2410</v>
      </c>
      <c r="K857" s="15">
        <v>24818</v>
      </c>
      <c r="L857" s="6" t="s">
        <v>2422</v>
      </c>
      <c r="M857" s="6" t="s">
        <v>3239</v>
      </c>
      <c r="N857" s="6" t="s">
        <v>3372</v>
      </c>
      <c r="O857" s="6" t="s">
        <v>3377</v>
      </c>
      <c r="P857" s="6" t="s">
        <v>3837</v>
      </c>
      <c r="Q857" s="6">
        <v>1378.72</v>
      </c>
      <c r="R857" s="15">
        <v>4</v>
      </c>
      <c r="S857" s="20">
        <v>7.0000000000000007E-2</v>
      </c>
      <c r="T857" s="15">
        <v>332.51</v>
      </c>
    </row>
    <row r="858" spans="1:20" x14ac:dyDescent="0.3">
      <c r="A858" s="7" t="s">
        <v>876</v>
      </c>
      <c r="B858" s="13">
        <v>44039.258263888885</v>
      </c>
      <c r="C858" s="13">
        <v>44042.258258258247</v>
      </c>
      <c r="D858" s="8" t="s">
        <v>1021</v>
      </c>
      <c r="E858" s="8" t="s">
        <v>1841</v>
      </c>
      <c r="F858" s="8" t="s">
        <v>2203</v>
      </c>
      <c r="G858" s="8" t="s">
        <v>2406</v>
      </c>
      <c r="H858" s="8" t="s">
        <v>2409</v>
      </c>
      <c r="I858" s="8" t="s">
        <v>2411</v>
      </c>
      <c r="J858" s="16" t="s">
        <v>3892</v>
      </c>
      <c r="K858" s="16">
        <v>74681</v>
      </c>
      <c r="L858" s="8" t="s">
        <v>2419</v>
      </c>
      <c r="M858" s="8" t="s">
        <v>3240</v>
      </c>
      <c r="N858" s="8" t="s">
        <v>3371</v>
      </c>
      <c r="O858" s="8" t="s">
        <v>3374</v>
      </c>
      <c r="P858" s="8" t="s">
        <v>3750</v>
      </c>
      <c r="Q858" s="8">
        <v>4738.55</v>
      </c>
      <c r="R858" s="16">
        <v>2</v>
      </c>
      <c r="S858" s="21">
        <v>0.46</v>
      </c>
      <c r="T858" s="16">
        <v>-760.07</v>
      </c>
    </row>
    <row r="859" spans="1:20" x14ac:dyDescent="0.3">
      <c r="A859" s="5" t="s">
        <v>877</v>
      </c>
      <c r="B859" s="12">
        <v>44040.354351851849</v>
      </c>
      <c r="C859" s="12">
        <v>44042.354354354349</v>
      </c>
      <c r="D859" s="6" t="s">
        <v>1023</v>
      </c>
      <c r="E859" s="6" t="s">
        <v>1842</v>
      </c>
      <c r="F859" s="6" t="s">
        <v>2386</v>
      </c>
      <c r="G859" s="6" t="s">
        <v>2408</v>
      </c>
      <c r="H859" s="6" t="s">
        <v>2409</v>
      </c>
      <c r="I859" s="6" t="s">
        <v>2418</v>
      </c>
      <c r="J859" s="15" t="s">
        <v>3894</v>
      </c>
      <c r="K859" s="15">
        <v>66621</v>
      </c>
      <c r="L859" s="6" t="s">
        <v>2419</v>
      </c>
      <c r="M859" s="6" t="s">
        <v>3241</v>
      </c>
      <c r="N859" s="6" t="s">
        <v>3372</v>
      </c>
      <c r="O859" s="6" t="s">
        <v>3377</v>
      </c>
      <c r="P859" s="6" t="s">
        <v>3690</v>
      </c>
      <c r="Q859" s="6">
        <v>3900.98</v>
      </c>
      <c r="R859" s="15">
        <v>10</v>
      </c>
      <c r="S859" s="20">
        <v>0.26</v>
      </c>
      <c r="T859" s="15">
        <v>437.28</v>
      </c>
    </row>
    <row r="860" spans="1:20" x14ac:dyDescent="0.3">
      <c r="A860" s="7" t="s">
        <v>878</v>
      </c>
      <c r="B860" s="13">
        <v>44041.45045138889</v>
      </c>
      <c r="C860" s="13">
        <v>44047.450450450437</v>
      </c>
      <c r="D860" s="8" t="s">
        <v>1023</v>
      </c>
      <c r="E860" s="8" t="s">
        <v>1843</v>
      </c>
      <c r="F860" s="8" t="s">
        <v>1970</v>
      </c>
      <c r="G860" s="8" t="s">
        <v>2406</v>
      </c>
      <c r="H860" s="8" t="s">
        <v>2409</v>
      </c>
      <c r="I860" s="8" t="s">
        <v>2415</v>
      </c>
      <c r="J860" s="16" t="s">
        <v>3893</v>
      </c>
      <c r="K860" s="16">
        <v>52012</v>
      </c>
      <c r="L860" s="8" t="s">
        <v>2421</v>
      </c>
      <c r="M860" s="8" t="s">
        <v>3242</v>
      </c>
      <c r="N860" s="8" t="s">
        <v>3371</v>
      </c>
      <c r="O860" s="8" t="s">
        <v>3383</v>
      </c>
      <c r="P860" s="8" t="s">
        <v>3481</v>
      </c>
      <c r="Q860" s="8">
        <v>3118.77</v>
      </c>
      <c r="R860" s="16">
        <v>12</v>
      </c>
      <c r="S860" s="21">
        <v>0.85</v>
      </c>
      <c r="T860" s="16">
        <v>270.54000000000002</v>
      </c>
    </row>
    <row r="861" spans="1:20" x14ac:dyDescent="0.3">
      <c r="A861" s="5" t="s">
        <v>879</v>
      </c>
      <c r="B861" s="12">
        <v>44042.546550925923</v>
      </c>
      <c r="C861" s="12">
        <v>44045.546546546539</v>
      </c>
      <c r="D861" s="6" t="s">
        <v>1023</v>
      </c>
      <c r="E861" s="6" t="s">
        <v>1844</v>
      </c>
      <c r="F861" s="6" t="s">
        <v>2352</v>
      </c>
      <c r="G861" s="6" t="s">
        <v>2407</v>
      </c>
      <c r="H861" s="6" t="s">
        <v>2409</v>
      </c>
      <c r="I861" s="6" t="s">
        <v>2413</v>
      </c>
      <c r="J861" s="15" t="s">
        <v>3897</v>
      </c>
      <c r="K861" s="15">
        <v>26395</v>
      </c>
      <c r="L861" s="6" t="s">
        <v>2422</v>
      </c>
      <c r="M861" s="6" t="s">
        <v>3243</v>
      </c>
      <c r="N861" s="6" t="s">
        <v>3372</v>
      </c>
      <c r="O861" s="6" t="s">
        <v>3376</v>
      </c>
      <c r="P861" s="6" t="s">
        <v>3676</v>
      </c>
      <c r="Q861" s="6">
        <v>3800.54</v>
      </c>
      <c r="R861" s="15">
        <v>5</v>
      </c>
      <c r="S861" s="20">
        <v>0.47</v>
      </c>
      <c r="T861" s="15">
        <v>-736.98</v>
      </c>
    </row>
    <row r="862" spans="1:20" x14ac:dyDescent="0.3">
      <c r="A862" s="7" t="s">
        <v>880</v>
      </c>
      <c r="B862" s="13">
        <v>44043.642638888887</v>
      </c>
      <c r="C862" s="13">
        <v>44045.642642642641</v>
      </c>
      <c r="D862" s="8" t="s">
        <v>1020</v>
      </c>
      <c r="E862" s="8" t="s">
        <v>1845</v>
      </c>
      <c r="F862" s="8" t="s">
        <v>2110</v>
      </c>
      <c r="G862" s="8" t="s">
        <v>2408</v>
      </c>
      <c r="H862" s="8" t="s">
        <v>2409</v>
      </c>
      <c r="I862" s="8" t="s">
        <v>2414</v>
      </c>
      <c r="J862" s="16" t="s">
        <v>3894</v>
      </c>
      <c r="K862" s="16">
        <v>54125</v>
      </c>
      <c r="L862" s="8" t="s">
        <v>2419</v>
      </c>
      <c r="M862" s="8" t="s">
        <v>3244</v>
      </c>
      <c r="N862" s="8" t="s">
        <v>3371</v>
      </c>
      <c r="O862" s="8" t="s">
        <v>3374</v>
      </c>
      <c r="P862" s="8" t="s">
        <v>3575</v>
      </c>
      <c r="Q862" s="8">
        <v>593.1</v>
      </c>
      <c r="R862" s="16">
        <v>13</v>
      </c>
      <c r="S862" s="21">
        <v>0.08</v>
      </c>
      <c r="T862" s="16">
        <v>3.47</v>
      </c>
    </row>
    <row r="863" spans="1:20" x14ac:dyDescent="0.3">
      <c r="A863" s="5" t="s">
        <v>881</v>
      </c>
      <c r="B863" s="12">
        <v>44044.738738425927</v>
      </c>
      <c r="C863" s="12">
        <v>44045.738738738743</v>
      </c>
      <c r="D863" s="6" t="s">
        <v>1023</v>
      </c>
      <c r="E863" s="6" t="s">
        <v>1846</v>
      </c>
      <c r="F863" s="6" t="s">
        <v>2184</v>
      </c>
      <c r="G863" s="6" t="s">
        <v>2408</v>
      </c>
      <c r="H863" s="6" t="s">
        <v>2409</v>
      </c>
      <c r="I863" s="6" t="s">
        <v>2413</v>
      </c>
      <c r="J863" s="15" t="s">
        <v>3892</v>
      </c>
      <c r="K863" s="15">
        <v>85988</v>
      </c>
      <c r="L863" s="6" t="s">
        <v>2421</v>
      </c>
      <c r="M863" s="6" t="s">
        <v>3245</v>
      </c>
      <c r="N863" s="6" t="s">
        <v>3372</v>
      </c>
      <c r="O863" s="6" t="s">
        <v>3377</v>
      </c>
      <c r="P863" s="6" t="s">
        <v>3495</v>
      </c>
      <c r="Q863" s="6">
        <v>1988.31</v>
      </c>
      <c r="R863" s="15">
        <v>2</v>
      </c>
      <c r="S863" s="20">
        <v>0.08</v>
      </c>
      <c r="T863" s="15">
        <v>942.23</v>
      </c>
    </row>
    <row r="864" spans="1:20" x14ac:dyDescent="0.3">
      <c r="A864" s="7" t="s">
        <v>882</v>
      </c>
      <c r="B864" s="13">
        <v>44045.834837962961</v>
      </c>
      <c r="C864" s="13">
        <v>44049.83483483483</v>
      </c>
      <c r="D864" s="8" t="s">
        <v>1022</v>
      </c>
      <c r="E864" s="8" t="s">
        <v>1847</v>
      </c>
      <c r="F864" s="8" t="s">
        <v>2337</v>
      </c>
      <c r="G864" s="8" t="s">
        <v>2406</v>
      </c>
      <c r="H864" s="8" t="s">
        <v>2409</v>
      </c>
      <c r="I864" s="8" t="s">
        <v>2417</v>
      </c>
      <c r="J864" s="16" t="s">
        <v>3895</v>
      </c>
      <c r="K864" s="16">
        <v>69404</v>
      </c>
      <c r="L864" s="8" t="s">
        <v>2419</v>
      </c>
      <c r="M864" s="8" t="s">
        <v>3246</v>
      </c>
      <c r="N864" s="8" t="s">
        <v>3371</v>
      </c>
      <c r="O864" s="8" t="s">
        <v>3382</v>
      </c>
      <c r="P864" s="8" t="s">
        <v>3531</v>
      </c>
      <c r="Q864" s="8">
        <v>4257.6899999999996</v>
      </c>
      <c r="R864" s="16">
        <v>8</v>
      </c>
      <c r="S864" s="21">
        <v>0.3</v>
      </c>
      <c r="T864" s="16">
        <v>-153.30000000000001</v>
      </c>
    </row>
    <row r="865" spans="1:20" x14ac:dyDescent="0.3">
      <c r="A865" s="5" t="s">
        <v>883</v>
      </c>
      <c r="B865" s="12">
        <v>44046.930925925924</v>
      </c>
      <c r="C865" s="12">
        <v>44051.930930930917</v>
      </c>
      <c r="D865" s="6" t="s">
        <v>1021</v>
      </c>
      <c r="E865" s="6" t="s">
        <v>1848</v>
      </c>
      <c r="F865" s="6" t="s">
        <v>2387</v>
      </c>
      <c r="G865" s="6" t="s">
        <v>2407</v>
      </c>
      <c r="H865" s="6" t="s">
        <v>2409</v>
      </c>
      <c r="I865" s="6" t="s">
        <v>2410</v>
      </c>
      <c r="J865" s="15" t="s">
        <v>3893</v>
      </c>
      <c r="K865" s="15">
        <v>57277</v>
      </c>
      <c r="L865" s="6" t="s">
        <v>2422</v>
      </c>
      <c r="M865" s="6" t="s">
        <v>3247</v>
      </c>
      <c r="N865" s="6" t="s">
        <v>3372</v>
      </c>
      <c r="O865" s="6" t="s">
        <v>3377</v>
      </c>
      <c r="P865" s="6" t="s">
        <v>3487</v>
      </c>
      <c r="Q865" s="6">
        <v>845.72</v>
      </c>
      <c r="R865" s="15">
        <v>4</v>
      </c>
      <c r="S865" s="20">
        <v>0.69</v>
      </c>
      <c r="T865" s="15">
        <v>385.49</v>
      </c>
    </row>
    <row r="866" spans="1:20" x14ac:dyDescent="0.3">
      <c r="A866" s="7" t="s">
        <v>884</v>
      </c>
      <c r="B866" s="13">
        <v>44048.027025462965</v>
      </c>
      <c r="C866" s="13">
        <v>44049.027027027027</v>
      </c>
      <c r="D866" s="8" t="s">
        <v>1021</v>
      </c>
      <c r="E866" s="8" t="s">
        <v>1849</v>
      </c>
      <c r="F866" s="8" t="s">
        <v>2288</v>
      </c>
      <c r="G866" s="8" t="s">
        <v>2407</v>
      </c>
      <c r="H866" s="8" t="s">
        <v>2409</v>
      </c>
      <c r="I866" s="8" t="s">
        <v>2411</v>
      </c>
      <c r="J866" s="16" t="s">
        <v>2410</v>
      </c>
      <c r="K866" s="16">
        <v>25938</v>
      </c>
      <c r="L866" s="8" t="s">
        <v>2420</v>
      </c>
      <c r="M866" s="8" t="s">
        <v>3248</v>
      </c>
      <c r="N866" s="8" t="s">
        <v>3372</v>
      </c>
      <c r="O866" s="8" t="s">
        <v>3376</v>
      </c>
      <c r="P866" s="8" t="s">
        <v>3838</v>
      </c>
      <c r="Q866" s="8">
        <v>981.05</v>
      </c>
      <c r="R866" s="16">
        <v>2</v>
      </c>
      <c r="S866" s="21">
        <v>0.53</v>
      </c>
      <c r="T866" s="16">
        <v>-12.95</v>
      </c>
    </row>
    <row r="867" spans="1:20" x14ac:dyDescent="0.3">
      <c r="A867" s="5" t="s">
        <v>885</v>
      </c>
      <c r="B867" s="12">
        <v>44049.123124999998</v>
      </c>
      <c r="C867" s="12">
        <v>44053.123123123107</v>
      </c>
      <c r="D867" s="6" t="s">
        <v>1022</v>
      </c>
      <c r="E867" s="6" t="s">
        <v>1560</v>
      </c>
      <c r="F867" s="6" t="s">
        <v>2105</v>
      </c>
      <c r="G867" s="6" t="s">
        <v>2406</v>
      </c>
      <c r="H867" s="6" t="s">
        <v>2409</v>
      </c>
      <c r="I867" s="6" t="s">
        <v>2412</v>
      </c>
      <c r="J867" s="15" t="s">
        <v>2410</v>
      </c>
      <c r="K867" s="15">
        <v>23822</v>
      </c>
      <c r="L867" s="6" t="s">
        <v>2420</v>
      </c>
      <c r="M867" s="6" t="s">
        <v>3249</v>
      </c>
      <c r="N867" s="6" t="s">
        <v>3373</v>
      </c>
      <c r="O867" s="6" t="s">
        <v>3379</v>
      </c>
      <c r="P867" s="6" t="s">
        <v>3727</v>
      </c>
      <c r="Q867" s="6">
        <v>3078.41</v>
      </c>
      <c r="R867" s="15">
        <v>14</v>
      </c>
      <c r="S867" s="20">
        <v>0.52</v>
      </c>
      <c r="T867" s="15">
        <v>755.24</v>
      </c>
    </row>
    <row r="868" spans="1:20" x14ac:dyDescent="0.3">
      <c r="A868" s="7" t="s">
        <v>886</v>
      </c>
      <c r="B868" s="13">
        <v>44050.219224537039</v>
      </c>
      <c r="C868" s="13">
        <v>44052.219219219223</v>
      </c>
      <c r="D868" s="8" t="s">
        <v>1023</v>
      </c>
      <c r="E868" s="8" t="s">
        <v>1850</v>
      </c>
      <c r="F868" s="8" t="s">
        <v>2388</v>
      </c>
      <c r="G868" s="8" t="s">
        <v>2408</v>
      </c>
      <c r="H868" s="8" t="s">
        <v>2409</v>
      </c>
      <c r="I868" s="8" t="s">
        <v>2415</v>
      </c>
      <c r="J868" s="16" t="s">
        <v>3891</v>
      </c>
      <c r="K868" s="16">
        <v>64247</v>
      </c>
      <c r="L868" s="8" t="s">
        <v>2419</v>
      </c>
      <c r="M868" s="8" t="s">
        <v>3250</v>
      </c>
      <c r="N868" s="8" t="s">
        <v>3373</v>
      </c>
      <c r="O868" s="8" t="s">
        <v>3381</v>
      </c>
      <c r="P868" s="8" t="s">
        <v>3788</v>
      </c>
      <c r="Q868" s="8">
        <v>1999.93</v>
      </c>
      <c r="R868" s="16">
        <v>2</v>
      </c>
      <c r="S868" s="21">
        <v>0.45</v>
      </c>
      <c r="T868" s="16">
        <v>366.09</v>
      </c>
    </row>
    <row r="869" spans="1:20" x14ac:dyDescent="0.3">
      <c r="A869" s="5" t="s">
        <v>887</v>
      </c>
      <c r="B869" s="12">
        <v>44051.315312500003</v>
      </c>
      <c r="C869" s="12">
        <v>44055.315315315311</v>
      </c>
      <c r="D869" s="6" t="s">
        <v>1020</v>
      </c>
      <c r="E869" s="6" t="s">
        <v>1851</v>
      </c>
      <c r="F869" s="6" t="s">
        <v>2322</v>
      </c>
      <c r="G869" s="6" t="s">
        <v>2407</v>
      </c>
      <c r="H869" s="6" t="s">
        <v>2409</v>
      </c>
      <c r="I869" s="6" t="s">
        <v>2414</v>
      </c>
      <c r="J869" s="15" t="s">
        <v>3896</v>
      </c>
      <c r="K869" s="15">
        <v>36267</v>
      </c>
      <c r="L869" s="6" t="s">
        <v>2419</v>
      </c>
      <c r="M869" s="6" t="s">
        <v>3251</v>
      </c>
      <c r="N869" s="6" t="s">
        <v>3372</v>
      </c>
      <c r="O869" s="6" t="s">
        <v>3376</v>
      </c>
      <c r="P869" s="6" t="s">
        <v>3501</v>
      </c>
      <c r="Q869" s="6">
        <v>2268.85</v>
      </c>
      <c r="R869" s="15">
        <v>6</v>
      </c>
      <c r="S869" s="20">
        <v>0.79</v>
      </c>
      <c r="T869" s="15">
        <v>958.52</v>
      </c>
    </row>
    <row r="870" spans="1:20" x14ac:dyDescent="0.3">
      <c r="A870" s="7" t="s">
        <v>888</v>
      </c>
      <c r="B870" s="13">
        <v>44052.411412037036</v>
      </c>
      <c r="C870" s="13">
        <v>44058.411411411398</v>
      </c>
      <c r="D870" s="8" t="s">
        <v>1021</v>
      </c>
      <c r="E870" s="8" t="s">
        <v>1852</v>
      </c>
      <c r="F870" s="8" t="s">
        <v>2021</v>
      </c>
      <c r="G870" s="8" t="s">
        <v>2407</v>
      </c>
      <c r="H870" s="8" t="s">
        <v>2409</v>
      </c>
      <c r="I870" s="8" t="s">
        <v>2413</v>
      </c>
      <c r="J870" s="16" t="s">
        <v>3896</v>
      </c>
      <c r="K870" s="16">
        <v>98661</v>
      </c>
      <c r="L870" s="8" t="s">
        <v>2421</v>
      </c>
      <c r="M870" s="8" t="s">
        <v>2687</v>
      </c>
      <c r="N870" s="8" t="s">
        <v>3371</v>
      </c>
      <c r="O870" s="8" t="s">
        <v>3383</v>
      </c>
      <c r="P870" s="8" t="s">
        <v>3738</v>
      </c>
      <c r="Q870" s="8">
        <v>2738.15</v>
      </c>
      <c r="R870" s="16">
        <v>9</v>
      </c>
      <c r="S870" s="21">
        <v>0.2</v>
      </c>
      <c r="T870" s="16">
        <v>1269.93</v>
      </c>
    </row>
    <row r="871" spans="1:20" x14ac:dyDescent="0.3">
      <c r="A871" s="5" t="s">
        <v>889</v>
      </c>
      <c r="B871" s="12">
        <v>44053.507511574076</v>
      </c>
      <c r="C871" s="12">
        <v>44055.5075075075</v>
      </c>
      <c r="D871" s="6" t="s">
        <v>1023</v>
      </c>
      <c r="E871" s="6" t="s">
        <v>1853</v>
      </c>
      <c r="F871" s="6" t="s">
        <v>2263</v>
      </c>
      <c r="G871" s="6" t="s">
        <v>2408</v>
      </c>
      <c r="H871" s="6" t="s">
        <v>2409</v>
      </c>
      <c r="I871" s="6" t="s">
        <v>2412</v>
      </c>
      <c r="J871" s="15" t="s">
        <v>3891</v>
      </c>
      <c r="K871" s="15">
        <v>70707</v>
      </c>
      <c r="L871" s="6" t="s">
        <v>2420</v>
      </c>
      <c r="M871" s="6" t="s">
        <v>3252</v>
      </c>
      <c r="N871" s="6" t="s">
        <v>3373</v>
      </c>
      <c r="O871" s="6" t="s">
        <v>3379</v>
      </c>
      <c r="P871" s="6" t="s">
        <v>3413</v>
      </c>
      <c r="Q871" s="6">
        <v>4530.3999999999996</v>
      </c>
      <c r="R871" s="15">
        <v>9</v>
      </c>
      <c r="S871" s="20">
        <v>0.28000000000000003</v>
      </c>
      <c r="T871" s="15">
        <v>1583.67</v>
      </c>
    </row>
    <row r="872" spans="1:20" x14ac:dyDescent="0.3">
      <c r="A872" s="7" t="s">
        <v>890</v>
      </c>
      <c r="B872" s="13">
        <v>44054.60359953704</v>
      </c>
      <c r="C872" s="13">
        <v>44058.603603603602</v>
      </c>
      <c r="D872" s="8" t="s">
        <v>1021</v>
      </c>
      <c r="E872" s="8" t="s">
        <v>1854</v>
      </c>
      <c r="F872" s="8" t="s">
        <v>2293</v>
      </c>
      <c r="G872" s="8" t="s">
        <v>2408</v>
      </c>
      <c r="H872" s="8" t="s">
        <v>2409</v>
      </c>
      <c r="I872" s="8" t="s">
        <v>2417</v>
      </c>
      <c r="J872" s="16" t="s">
        <v>3897</v>
      </c>
      <c r="K872" s="16">
        <v>43137</v>
      </c>
      <c r="L872" s="8" t="s">
        <v>2422</v>
      </c>
      <c r="M872" s="8" t="s">
        <v>3253</v>
      </c>
      <c r="N872" s="8" t="s">
        <v>3372</v>
      </c>
      <c r="O872" s="8" t="s">
        <v>3384</v>
      </c>
      <c r="P872" s="8" t="s">
        <v>3722</v>
      </c>
      <c r="Q872" s="8">
        <v>4438.3100000000004</v>
      </c>
      <c r="R872" s="16">
        <v>2</v>
      </c>
      <c r="S872" s="21">
        <v>0.52</v>
      </c>
      <c r="T872" s="16">
        <v>1492.96</v>
      </c>
    </row>
    <row r="873" spans="1:20" x14ac:dyDescent="0.3">
      <c r="A873" s="5" t="s">
        <v>891</v>
      </c>
      <c r="B873" s="12">
        <v>44055.699699074074</v>
      </c>
      <c r="C873" s="12">
        <v>44059.699699699697</v>
      </c>
      <c r="D873" s="6" t="s">
        <v>1023</v>
      </c>
      <c r="E873" s="6" t="s">
        <v>1855</v>
      </c>
      <c r="F873" s="6" t="s">
        <v>2197</v>
      </c>
      <c r="G873" s="6" t="s">
        <v>2407</v>
      </c>
      <c r="H873" s="6" t="s">
        <v>2409</v>
      </c>
      <c r="I873" s="6" t="s">
        <v>2416</v>
      </c>
      <c r="J873" s="15" t="s">
        <v>3898</v>
      </c>
      <c r="K873" s="15">
        <v>11890</v>
      </c>
      <c r="L873" s="6" t="s">
        <v>2422</v>
      </c>
      <c r="M873" s="6" t="s">
        <v>3254</v>
      </c>
      <c r="N873" s="6" t="s">
        <v>3372</v>
      </c>
      <c r="O873" s="6" t="s">
        <v>3378</v>
      </c>
      <c r="P873" s="6" t="s">
        <v>3727</v>
      </c>
      <c r="Q873" s="6">
        <v>3831.74</v>
      </c>
      <c r="R873" s="15">
        <v>2</v>
      </c>
      <c r="S873" s="20">
        <v>0.42</v>
      </c>
      <c r="T873" s="15">
        <v>1882.65</v>
      </c>
    </row>
    <row r="874" spans="1:20" x14ac:dyDescent="0.3">
      <c r="A874" s="7" t="s">
        <v>892</v>
      </c>
      <c r="B874" s="13">
        <v>44056.795798611114</v>
      </c>
      <c r="C874" s="13">
        <v>44060.795795795777</v>
      </c>
      <c r="D874" s="8" t="s">
        <v>1022</v>
      </c>
      <c r="E874" s="8" t="s">
        <v>1856</v>
      </c>
      <c r="F874" s="8" t="s">
        <v>2037</v>
      </c>
      <c r="G874" s="8" t="s">
        <v>2408</v>
      </c>
      <c r="H874" s="8" t="s">
        <v>2409</v>
      </c>
      <c r="I874" s="8" t="s">
        <v>2412</v>
      </c>
      <c r="J874" s="16" t="s">
        <v>3892</v>
      </c>
      <c r="K874" s="16">
        <v>86765</v>
      </c>
      <c r="L874" s="8" t="s">
        <v>2421</v>
      </c>
      <c r="M874" s="8" t="s">
        <v>3255</v>
      </c>
      <c r="N874" s="8" t="s">
        <v>3373</v>
      </c>
      <c r="O874" s="8" t="s">
        <v>3385</v>
      </c>
      <c r="P874" s="8" t="s">
        <v>3581</v>
      </c>
      <c r="Q874" s="8">
        <v>2681.93</v>
      </c>
      <c r="R874" s="16">
        <v>6</v>
      </c>
      <c r="S874" s="21">
        <v>0.65</v>
      </c>
      <c r="T874" s="16">
        <v>-520.53</v>
      </c>
    </row>
    <row r="875" spans="1:20" x14ac:dyDescent="0.3">
      <c r="A875" s="5" t="s">
        <v>893</v>
      </c>
      <c r="B875" s="12">
        <v>44057.891886574071</v>
      </c>
      <c r="C875" s="12">
        <v>44061.891891891893</v>
      </c>
      <c r="D875" s="6" t="s">
        <v>1023</v>
      </c>
      <c r="E875" s="6" t="s">
        <v>1857</v>
      </c>
      <c r="F875" s="6" t="s">
        <v>2075</v>
      </c>
      <c r="G875" s="6" t="s">
        <v>2407</v>
      </c>
      <c r="H875" s="6" t="s">
        <v>2409</v>
      </c>
      <c r="I875" s="6" t="s">
        <v>2412</v>
      </c>
      <c r="J875" s="15" t="s">
        <v>3894</v>
      </c>
      <c r="K875" s="15">
        <v>43371</v>
      </c>
      <c r="L875" s="6" t="s">
        <v>2419</v>
      </c>
      <c r="M875" s="6" t="s">
        <v>3256</v>
      </c>
      <c r="N875" s="6" t="s">
        <v>3372</v>
      </c>
      <c r="O875" s="6" t="s">
        <v>3377</v>
      </c>
      <c r="P875" s="6" t="s">
        <v>3839</v>
      </c>
      <c r="Q875" s="6">
        <v>3670</v>
      </c>
      <c r="R875" s="15">
        <v>5</v>
      </c>
      <c r="S875" s="20">
        <v>0.89</v>
      </c>
      <c r="T875" s="15">
        <v>-262.29000000000002</v>
      </c>
    </row>
    <row r="876" spans="1:20" x14ac:dyDescent="0.3">
      <c r="A876" s="7" t="s">
        <v>894</v>
      </c>
      <c r="B876" s="13">
        <v>44058.987986111111</v>
      </c>
      <c r="C876" s="13">
        <v>44059.987987987988</v>
      </c>
      <c r="D876" s="8" t="s">
        <v>1022</v>
      </c>
      <c r="E876" s="8" t="s">
        <v>1858</v>
      </c>
      <c r="F876" s="8" t="s">
        <v>2257</v>
      </c>
      <c r="G876" s="8" t="s">
        <v>2408</v>
      </c>
      <c r="H876" s="8" t="s">
        <v>2409</v>
      </c>
      <c r="I876" s="8" t="s">
        <v>2415</v>
      </c>
      <c r="J876" s="16" t="s">
        <v>3897</v>
      </c>
      <c r="K876" s="16">
        <v>60636</v>
      </c>
      <c r="L876" s="8" t="s">
        <v>2419</v>
      </c>
      <c r="M876" s="8" t="s">
        <v>3257</v>
      </c>
      <c r="N876" s="8" t="s">
        <v>3373</v>
      </c>
      <c r="O876" s="8" t="s">
        <v>3379</v>
      </c>
      <c r="P876" s="8" t="s">
        <v>3598</v>
      </c>
      <c r="Q876" s="8">
        <v>3495.65</v>
      </c>
      <c r="R876" s="16">
        <v>1</v>
      </c>
      <c r="S876" s="21">
        <v>0.32</v>
      </c>
      <c r="T876" s="16">
        <v>665.4</v>
      </c>
    </row>
    <row r="877" spans="1:20" x14ac:dyDescent="0.3">
      <c r="A877" s="5" t="s">
        <v>895</v>
      </c>
      <c r="B877" s="12">
        <v>44060.084085648145</v>
      </c>
      <c r="C877" s="12">
        <v>44063.084084084083</v>
      </c>
      <c r="D877" s="6" t="s">
        <v>1022</v>
      </c>
      <c r="E877" s="6" t="s">
        <v>1859</v>
      </c>
      <c r="F877" s="6" t="s">
        <v>2366</v>
      </c>
      <c r="G877" s="6" t="s">
        <v>2406</v>
      </c>
      <c r="H877" s="6" t="s">
        <v>2409</v>
      </c>
      <c r="I877" s="6" t="s">
        <v>2415</v>
      </c>
      <c r="J877" s="15" t="s">
        <v>3893</v>
      </c>
      <c r="K877" s="15">
        <v>12975</v>
      </c>
      <c r="L877" s="6" t="s">
        <v>2422</v>
      </c>
      <c r="M877" s="6" t="s">
        <v>3258</v>
      </c>
      <c r="N877" s="6" t="s">
        <v>3371</v>
      </c>
      <c r="O877" s="6" t="s">
        <v>3375</v>
      </c>
      <c r="P877" s="6" t="s">
        <v>3840</v>
      </c>
      <c r="Q877" s="6">
        <v>2711.16</v>
      </c>
      <c r="R877" s="15">
        <v>5</v>
      </c>
      <c r="S877" s="20">
        <v>0.78</v>
      </c>
      <c r="T877" s="15">
        <v>226.89</v>
      </c>
    </row>
    <row r="878" spans="1:20" x14ac:dyDescent="0.3">
      <c r="A878" s="7" t="s">
        <v>896</v>
      </c>
      <c r="B878" s="13">
        <v>44061.180185185185</v>
      </c>
      <c r="C878" s="13">
        <v>44063.18018018017</v>
      </c>
      <c r="D878" s="8" t="s">
        <v>1020</v>
      </c>
      <c r="E878" s="8" t="s">
        <v>1860</v>
      </c>
      <c r="F878" s="8" t="s">
        <v>2320</v>
      </c>
      <c r="G878" s="8" t="s">
        <v>2407</v>
      </c>
      <c r="H878" s="8" t="s">
        <v>2409</v>
      </c>
      <c r="I878" s="8" t="s">
        <v>2412</v>
      </c>
      <c r="J878" s="16" t="s">
        <v>3892</v>
      </c>
      <c r="K878" s="16">
        <v>36137</v>
      </c>
      <c r="L878" s="8" t="s">
        <v>2421</v>
      </c>
      <c r="M878" s="8" t="s">
        <v>3259</v>
      </c>
      <c r="N878" s="8" t="s">
        <v>3373</v>
      </c>
      <c r="O878" s="8" t="s">
        <v>3379</v>
      </c>
      <c r="P878" s="8" t="s">
        <v>3821</v>
      </c>
      <c r="Q878" s="8">
        <v>3064.71</v>
      </c>
      <c r="R878" s="16">
        <v>11</v>
      </c>
      <c r="S878" s="21">
        <v>0.12</v>
      </c>
      <c r="T878" s="16">
        <v>1070.8599999999999</v>
      </c>
    </row>
    <row r="879" spans="1:20" x14ac:dyDescent="0.3">
      <c r="A879" s="5" t="s">
        <v>897</v>
      </c>
      <c r="B879" s="12">
        <v>44062.276273148149</v>
      </c>
      <c r="C879" s="12">
        <v>44063.276276276272</v>
      </c>
      <c r="D879" s="6" t="s">
        <v>1022</v>
      </c>
      <c r="E879" s="6" t="s">
        <v>1861</v>
      </c>
      <c r="F879" s="6" t="s">
        <v>2386</v>
      </c>
      <c r="G879" s="6" t="s">
        <v>2407</v>
      </c>
      <c r="H879" s="6" t="s">
        <v>2409</v>
      </c>
      <c r="I879" s="6" t="s">
        <v>2413</v>
      </c>
      <c r="J879" s="15" t="s">
        <v>3898</v>
      </c>
      <c r="K879" s="15">
        <v>19394</v>
      </c>
      <c r="L879" s="6" t="s">
        <v>2421</v>
      </c>
      <c r="M879" s="6" t="s">
        <v>3260</v>
      </c>
      <c r="N879" s="6" t="s">
        <v>3373</v>
      </c>
      <c r="O879" s="6" t="s">
        <v>3380</v>
      </c>
      <c r="P879" s="6" t="s">
        <v>3841</v>
      </c>
      <c r="Q879" s="6">
        <v>1204.4100000000001</v>
      </c>
      <c r="R879" s="15">
        <v>2</v>
      </c>
      <c r="S879" s="20">
        <v>0.75</v>
      </c>
      <c r="T879" s="15">
        <v>311.88</v>
      </c>
    </row>
    <row r="880" spans="1:20" x14ac:dyDescent="0.3">
      <c r="A880" s="7" t="s">
        <v>898</v>
      </c>
      <c r="B880" s="13">
        <v>44063.372372685182</v>
      </c>
      <c r="C880" s="13">
        <v>44065.37237237236</v>
      </c>
      <c r="D880" s="8" t="s">
        <v>1023</v>
      </c>
      <c r="E880" s="8" t="s">
        <v>1862</v>
      </c>
      <c r="F880" s="8" t="s">
        <v>2231</v>
      </c>
      <c r="G880" s="8" t="s">
        <v>2406</v>
      </c>
      <c r="H880" s="8" t="s">
        <v>2409</v>
      </c>
      <c r="I880" s="8" t="s">
        <v>2414</v>
      </c>
      <c r="J880" s="16" t="s">
        <v>3897</v>
      </c>
      <c r="K880" s="16">
        <v>86164</v>
      </c>
      <c r="L880" s="8" t="s">
        <v>2422</v>
      </c>
      <c r="M880" s="8" t="s">
        <v>3261</v>
      </c>
      <c r="N880" s="8" t="s">
        <v>3373</v>
      </c>
      <c r="O880" s="8" t="s">
        <v>3379</v>
      </c>
      <c r="P880" s="8" t="s">
        <v>3510</v>
      </c>
      <c r="Q880" s="8">
        <v>821.55</v>
      </c>
      <c r="R880" s="16">
        <v>12</v>
      </c>
      <c r="S880" s="21">
        <v>0.36</v>
      </c>
      <c r="T880" s="16">
        <v>253.61</v>
      </c>
    </row>
    <row r="881" spans="1:20" x14ac:dyDescent="0.3">
      <c r="A881" s="5" t="s">
        <v>899</v>
      </c>
      <c r="B881" s="12">
        <v>44064.468472222223</v>
      </c>
      <c r="C881" s="12">
        <v>44065.468468468462</v>
      </c>
      <c r="D881" s="6" t="s">
        <v>1020</v>
      </c>
      <c r="E881" s="6" t="s">
        <v>1863</v>
      </c>
      <c r="F881" s="6" t="s">
        <v>2130</v>
      </c>
      <c r="G881" s="6" t="s">
        <v>2407</v>
      </c>
      <c r="H881" s="6" t="s">
        <v>2409</v>
      </c>
      <c r="I881" s="6" t="s">
        <v>2417</v>
      </c>
      <c r="J881" s="15" t="s">
        <v>3892</v>
      </c>
      <c r="K881" s="15">
        <v>70969</v>
      </c>
      <c r="L881" s="6" t="s">
        <v>2421</v>
      </c>
      <c r="M881" s="6" t="s">
        <v>3058</v>
      </c>
      <c r="N881" s="6" t="s">
        <v>3372</v>
      </c>
      <c r="O881" s="6" t="s">
        <v>3378</v>
      </c>
      <c r="P881" s="6" t="s">
        <v>3842</v>
      </c>
      <c r="Q881" s="6">
        <v>1692.56</v>
      </c>
      <c r="R881" s="15">
        <v>2</v>
      </c>
      <c r="S881" s="20">
        <v>0.66</v>
      </c>
      <c r="T881" s="15">
        <v>368.36</v>
      </c>
    </row>
    <row r="882" spans="1:20" x14ac:dyDescent="0.3">
      <c r="A882" s="7" t="s">
        <v>900</v>
      </c>
      <c r="B882" s="13">
        <v>44065.564560185187</v>
      </c>
      <c r="C882" s="13">
        <v>44070.564564564564</v>
      </c>
      <c r="D882" s="8" t="s">
        <v>1022</v>
      </c>
      <c r="E882" s="8" t="s">
        <v>1864</v>
      </c>
      <c r="F882" s="8" t="s">
        <v>2165</v>
      </c>
      <c r="G882" s="8" t="s">
        <v>2406</v>
      </c>
      <c r="H882" s="8" t="s">
        <v>2409</v>
      </c>
      <c r="I882" s="8" t="s">
        <v>2410</v>
      </c>
      <c r="J882" s="16" t="s">
        <v>2410</v>
      </c>
      <c r="K882" s="16">
        <v>96647</v>
      </c>
      <c r="L882" s="8" t="s">
        <v>2419</v>
      </c>
      <c r="M882" s="8" t="s">
        <v>3262</v>
      </c>
      <c r="N882" s="8" t="s">
        <v>3373</v>
      </c>
      <c r="O882" s="8" t="s">
        <v>3385</v>
      </c>
      <c r="P882" s="8" t="s">
        <v>3705</v>
      </c>
      <c r="Q882" s="8">
        <v>4947.25</v>
      </c>
      <c r="R882" s="16">
        <v>3</v>
      </c>
      <c r="S882" s="21">
        <v>0.4</v>
      </c>
      <c r="T882" s="16">
        <v>-225.75</v>
      </c>
    </row>
    <row r="883" spans="1:20" x14ac:dyDescent="0.3">
      <c r="A883" s="5" t="s">
        <v>901</v>
      </c>
      <c r="B883" s="12">
        <v>44066.66065972222</v>
      </c>
      <c r="C883" s="12">
        <v>44072.660660660658</v>
      </c>
      <c r="D883" s="6" t="s">
        <v>1020</v>
      </c>
      <c r="E883" s="6" t="s">
        <v>1865</v>
      </c>
      <c r="F883" s="6" t="s">
        <v>2097</v>
      </c>
      <c r="G883" s="6" t="s">
        <v>2408</v>
      </c>
      <c r="H883" s="6" t="s">
        <v>2409</v>
      </c>
      <c r="I883" s="6" t="s">
        <v>2413</v>
      </c>
      <c r="J883" s="15" t="s">
        <v>3892</v>
      </c>
      <c r="K883" s="15">
        <v>25136</v>
      </c>
      <c r="L883" s="6" t="s">
        <v>2421</v>
      </c>
      <c r="M883" s="6" t="s">
        <v>3263</v>
      </c>
      <c r="N883" s="6" t="s">
        <v>3372</v>
      </c>
      <c r="O883" s="6" t="s">
        <v>3376</v>
      </c>
      <c r="P883" s="6" t="s">
        <v>3716</v>
      </c>
      <c r="Q883" s="6">
        <v>3201.08</v>
      </c>
      <c r="R883" s="15">
        <v>3</v>
      </c>
      <c r="S883" s="20">
        <v>0.34</v>
      </c>
      <c r="T883" s="15">
        <v>54.77</v>
      </c>
    </row>
    <row r="884" spans="1:20" x14ac:dyDescent="0.3">
      <c r="A884" s="7" t="s">
        <v>902</v>
      </c>
      <c r="B884" s="13">
        <v>44067.75675925926</v>
      </c>
      <c r="C884" s="13">
        <v>44071.756756756753</v>
      </c>
      <c r="D884" s="8" t="s">
        <v>1021</v>
      </c>
      <c r="E884" s="8" t="s">
        <v>1866</v>
      </c>
      <c r="F884" s="8" t="s">
        <v>2248</v>
      </c>
      <c r="G884" s="8" t="s">
        <v>2408</v>
      </c>
      <c r="H884" s="8" t="s">
        <v>2409</v>
      </c>
      <c r="I884" s="8" t="s">
        <v>2416</v>
      </c>
      <c r="J884" s="16" t="s">
        <v>3894</v>
      </c>
      <c r="K884" s="16">
        <v>16570</v>
      </c>
      <c r="L884" s="8" t="s">
        <v>2419</v>
      </c>
      <c r="M884" s="8" t="s">
        <v>3264</v>
      </c>
      <c r="N884" s="8" t="s">
        <v>3373</v>
      </c>
      <c r="O884" s="8" t="s">
        <v>3381</v>
      </c>
      <c r="P884" s="8" t="s">
        <v>3549</v>
      </c>
      <c r="Q884" s="8">
        <v>3220.36</v>
      </c>
      <c r="R884" s="16">
        <v>11</v>
      </c>
      <c r="S884" s="21">
        <v>0.49</v>
      </c>
      <c r="T884" s="16">
        <v>697.86</v>
      </c>
    </row>
    <row r="885" spans="1:20" x14ac:dyDescent="0.3">
      <c r="A885" s="5" t="s">
        <v>903</v>
      </c>
      <c r="B885" s="12">
        <v>44068.852847222224</v>
      </c>
      <c r="C885" s="12">
        <v>44071.852852852848</v>
      </c>
      <c r="D885" s="6" t="s">
        <v>1020</v>
      </c>
      <c r="E885" s="6" t="s">
        <v>1867</v>
      </c>
      <c r="F885" s="6" t="s">
        <v>2266</v>
      </c>
      <c r="G885" s="6" t="s">
        <v>2408</v>
      </c>
      <c r="H885" s="6" t="s">
        <v>2409</v>
      </c>
      <c r="I885" s="6" t="s">
        <v>2412</v>
      </c>
      <c r="J885" s="15" t="s">
        <v>2410</v>
      </c>
      <c r="K885" s="15">
        <v>15352</v>
      </c>
      <c r="L885" s="6" t="s">
        <v>2419</v>
      </c>
      <c r="M885" s="6" t="s">
        <v>3265</v>
      </c>
      <c r="N885" s="6" t="s">
        <v>3372</v>
      </c>
      <c r="O885" s="6" t="s">
        <v>3377</v>
      </c>
      <c r="P885" s="6" t="s">
        <v>3843</v>
      </c>
      <c r="Q885" s="6">
        <v>2291.75</v>
      </c>
      <c r="R885" s="15">
        <v>14</v>
      </c>
      <c r="S885" s="20">
        <v>0.11</v>
      </c>
      <c r="T885" s="15">
        <v>166.81</v>
      </c>
    </row>
    <row r="886" spans="1:20" x14ac:dyDescent="0.3">
      <c r="A886" s="7" t="s">
        <v>904</v>
      </c>
      <c r="B886" s="13">
        <v>44069.948946759258</v>
      </c>
      <c r="C886" s="13">
        <v>44075.94894894895</v>
      </c>
      <c r="D886" s="8" t="s">
        <v>1023</v>
      </c>
      <c r="E886" s="8" t="s">
        <v>1868</v>
      </c>
      <c r="F886" s="8" t="s">
        <v>2211</v>
      </c>
      <c r="G886" s="8" t="s">
        <v>2406</v>
      </c>
      <c r="H886" s="8" t="s">
        <v>2409</v>
      </c>
      <c r="I886" s="8" t="s">
        <v>2412</v>
      </c>
      <c r="J886" s="16" t="s">
        <v>3892</v>
      </c>
      <c r="K886" s="16">
        <v>81281</v>
      </c>
      <c r="L886" s="8" t="s">
        <v>2421</v>
      </c>
      <c r="M886" s="8" t="s">
        <v>3266</v>
      </c>
      <c r="N886" s="8" t="s">
        <v>3373</v>
      </c>
      <c r="O886" s="8" t="s">
        <v>3380</v>
      </c>
      <c r="P886" s="8" t="s">
        <v>3403</v>
      </c>
      <c r="Q886" s="8">
        <v>2167.41</v>
      </c>
      <c r="R886" s="16">
        <v>6</v>
      </c>
      <c r="S886" s="21">
        <v>0.08</v>
      </c>
      <c r="T886" s="16">
        <v>684.8</v>
      </c>
    </row>
    <row r="887" spans="1:20" x14ac:dyDescent="0.3">
      <c r="A887" s="5" t="s">
        <v>905</v>
      </c>
      <c r="B887" s="12">
        <v>44071.045046296298</v>
      </c>
      <c r="C887" s="12">
        <v>44077.045045045037</v>
      </c>
      <c r="D887" s="6" t="s">
        <v>1021</v>
      </c>
      <c r="E887" s="6" t="s">
        <v>1546</v>
      </c>
      <c r="F887" s="6" t="s">
        <v>2011</v>
      </c>
      <c r="G887" s="6" t="s">
        <v>2407</v>
      </c>
      <c r="H887" s="6" t="s">
        <v>2409</v>
      </c>
      <c r="I887" s="6" t="s">
        <v>2413</v>
      </c>
      <c r="J887" s="15" t="s">
        <v>2410</v>
      </c>
      <c r="K887" s="15">
        <v>52812</v>
      </c>
      <c r="L887" s="6" t="s">
        <v>2421</v>
      </c>
      <c r="M887" s="6" t="s">
        <v>3267</v>
      </c>
      <c r="N887" s="6" t="s">
        <v>3373</v>
      </c>
      <c r="O887" s="6" t="s">
        <v>3385</v>
      </c>
      <c r="P887" s="6" t="s">
        <v>3564</v>
      </c>
      <c r="Q887" s="6">
        <v>90.04</v>
      </c>
      <c r="R887" s="15">
        <v>5</v>
      </c>
      <c r="S887" s="20">
        <v>0.6</v>
      </c>
      <c r="T887" s="15">
        <v>13.4</v>
      </c>
    </row>
    <row r="888" spans="1:20" x14ac:dyDescent="0.3">
      <c r="A888" s="7" t="s">
        <v>906</v>
      </c>
      <c r="B888" s="13">
        <v>44072.141145833331</v>
      </c>
      <c r="C888" s="13">
        <v>44076.141141141132</v>
      </c>
      <c r="D888" s="8" t="s">
        <v>1023</v>
      </c>
      <c r="E888" s="8" t="s">
        <v>1869</v>
      </c>
      <c r="F888" s="8" t="s">
        <v>2202</v>
      </c>
      <c r="G888" s="8" t="s">
        <v>2408</v>
      </c>
      <c r="H888" s="8" t="s">
        <v>2409</v>
      </c>
      <c r="I888" s="8" t="s">
        <v>2417</v>
      </c>
      <c r="J888" s="16" t="s">
        <v>3891</v>
      </c>
      <c r="K888" s="16">
        <v>42222</v>
      </c>
      <c r="L888" s="8" t="s">
        <v>2419</v>
      </c>
      <c r="M888" s="8" t="s">
        <v>3268</v>
      </c>
      <c r="N888" s="8" t="s">
        <v>3373</v>
      </c>
      <c r="O888" s="8" t="s">
        <v>3380</v>
      </c>
      <c r="P888" s="8" t="s">
        <v>3444</v>
      </c>
      <c r="Q888" s="8">
        <v>4613.87</v>
      </c>
      <c r="R888" s="16">
        <v>2</v>
      </c>
      <c r="S888" s="21">
        <v>0.71</v>
      </c>
      <c r="T888" s="16">
        <v>724.34</v>
      </c>
    </row>
    <row r="889" spans="1:20" x14ac:dyDescent="0.3">
      <c r="A889" s="5" t="s">
        <v>907</v>
      </c>
      <c r="B889" s="12">
        <v>44073.237233796295</v>
      </c>
      <c r="C889" s="12">
        <v>44076.237237237227</v>
      </c>
      <c r="D889" s="6" t="s">
        <v>1021</v>
      </c>
      <c r="E889" s="6" t="s">
        <v>1870</v>
      </c>
      <c r="F889" s="6" t="s">
        <v>2101</v>
      </c>
      <c r="G889" s="6" t="s">
        <v>2408</v>
      </c>
      <c r="H889" s="6" t="s">
        <v>2409</v>
      </c>
      <c r="I889" s="6" t="s">
        <v>2413</v>
      </c>
      <c r="J889" s="15" t="s">
        <v>3894</v>
      </c>
      <c r="K889" s="15">
        <v>30834</v>
      </c>
      <c r="L889" s="6" t="s">
        <v>2420</v>
      </c>
      <c r="M889" s="6" t="s">
        <v>3269</v>
      </c>
      <c r="N889" s="6" t="s">
        <v>3372</v>
      </c>
      <c r="O889" s="6" t="s">
        <v>3384</v>
      </c>
      <c r="P889" s="6" t="s">
        <v>3844</v>
      </c>
      <c r="Q889" s="6">
        <v>1962.18</v>
      </c>
      <c r="R889" s="15">
        <v>5</v>
      </c>
      <c r="S889" s="20">
        <v>0.55000000000000004</v>
      </c>
      <c r="T889" s="15">
        <v>-1.98</v>
      </c>
    </row>
    <row r="890" spans="1:20" x14ac:dyDescent="0.3">
      <c r="A890" s="7" t="s">
        <v>908</v>
      </c>
      <c r="B890" s="13">
        <v>44074.333333333336</v>
      </c>
      <c r="C890" s="13">
        <v>44080.333333333343</v>
      </c>
      <c r="D890" s="8" t="s">
        <v>1021</v>
      </c>
      <c r="E890" s="8" t="s">
        <v>1871</v>
      </c>
      <c r="F890" s="8" t="s">
        <v>2109</v>
      </c>
      <c r="G890" s="8" t="s">
        <v>2407</v>
      </c>
      <c r="H890" s="8" t="s">
        <v>2409</v>
      </c>
      <c r="I890" s="8" t="s">
        <v>2410</v>
      </c>
      <c r="J890" s="16" t="s">
        <v>3892</v>
      </c>
      <c r="K890" s="16">
        <v>88870</v>
      </c>
      <c r="L890" s="8" t="s">
        <v>2421</v>
      </c>
      <c r="M890" s="8" t="s">
        <v>3270</v>
      </c>
      <c r="N890" s="8" t="s">
        <v>3371</v>
      </c>
      <c r="O890" s="8" t="s">
        <v>3375</v>
      </c>
      <c r="P890" s="8" t="s">
        <v>3736</v>
      </c>
      <c r="Q890" s="8">
        <v>3650.92</v>
      </c>
      <c r="R890" s="16">
        <v>2</v>
      </c>
      <c r="S890" s="21">
        <v>0.77</v>
      </c>
      <c r="T890" s="16">
        <v>865.75</v>
      </c>
    </row>
    <row r="891" spans="1:20" x14ac:dyDescent="0.3">
      <c r="A891" s="5" t="s">
        <v>909</v>
      </c>
      <c r="B891" s="12">
        <v>44075.429432870369</v>
      </c>
      <c r="C891" s="12">
        <v>44081.429429429423</v>
      </c>
      <c r="D891" s="6" t="s">
        <v>1023</v>
      </c>
      <c r="E891" s="6" t="s">
        <v>1872</v>
      </c>
      <c r="F891" s="6" t="s">
        <v>2214</v>
      </c>
      <c r="G891" s="6" t="s">
        <v>2408</v>
      </c>
      <c r="H891" s="6" t="s">
        <v>2409</v>
      </c>
      <c r="I891" s="6" t="s">
        <v>2411</v>
      </c>
      <c r="J891" s="15" t="s">
        <v>3897</v>
      </c>
      <c r="K891" s="15">
        <v>26318</v>
      </c>
      <c r="L891" s="6" t="s">
        <v>2419</v>
      </c>
      <c r="M891" s="6" t="s">
        <v>3271</v>
      </c>
      <c r="N891" s="6" t="s">
        <v>3371</v>
      </c>
      <c r="O891" s="6" t="s">
        <v>3383</v>
      </c>
      <c r="P891" s="6" t="s">
        <v>3543</v>
      </c>
      <c r="Q891" s="6">
        <v>2107.4899999999998</v>
      </c>
      <c r="R891" s="15">
        <v>11</v>
      </c>
      <c r="S891" s="20">
        <v>0.66</v>
      </c>
      <c r="T891" s="15">
        <v>103.12</v>
      </c>
    </row>
    <row r="892" spans="1:20" x14ac:dyDescent="0.3">
      <c r="A892" s="7" t="s">
        <v>910</v>
      </c>
      <c r="B892" s="13">
        <v>44076.525520833333</v>
      </c>
      <c r="C892" s="13">
        <v>44077.525525525518</v>
      </c>
      <c r="D892" s="8" t="s">
        <v>1021</v>
      </c>
      <c r="E892" s="8" t="s">
        <v>1873</v>
      </c>
      <c r="F892" s="8" t="s">
        <v>2330</v>
      </c>
      <c r="G892" s="8" t="s">
        <v>2408</v>
      </c>
      <c r="H892" s="8" t="s">
        <v>2409</v>
      </c>
      <c r="I892" s="8" t="s">
        <v>2414</v>
      </c>
      <c r="J892" s="16" t="s">
        <v>3891</v>
      </c>
      <c r="K892" s="16">
        <v>92732</v>
      </c>
      <c r="L892" s="8" t="s">
        <v>2419</v>
      </c>
      <c r="M892" s="8" t="s">
        <v>3272</v>
      </c>
      <c r="N892" s="8" t="s">
        <v>3372</v>
      </c>
      <c r="O892" s="8" t="s">
        <v>3376</v>
      </c>
      <c r="P892" s="8" t="s">
        <v>3845</v>
      </c>
      <c r="Q892" s="8">
        <v>1315.2</v>
      </c>
      <c r="R892" s="16">
        <v>13</v>
      </c>
      <c r="S892" s="21">
        <v>0.19</v>
      </c>
      <c r="T892" s="16">
        <v>118.06</v>
      </c>
    </row>
    <row r="893" spans="1:20" x14ac:dyDescent="0.3">
      <c r="A893" s="5" t="s">
        <v>911</v>
      </c>
      <c r="B893" s="12">
        <v>44077.621620370373</v>
      </c>
      <c r="C893" s="12">
        <v>44080.62162162162</v>
      </c>
      <c r="D893" s="6" t="s">
        <v>1020</v>
      </c>
      <c r="E893" s="6" t="s">
        <v>1874</v>
      </c>
      <c r="F893" s="6" t="s">
        <v>2179</v>
      </c>
      <c r="G893" s="6" t="s">
        <v>2407</v>
      </c>
      <c r="H893" s="6" t="s">
        <v>2409</v>
      </c>
      <c r="I893" s="6" t="s">
        <v>2415</v>
      </c>
      <c r="J893" s="15" t="s">
        <v>3892</v>
      </c>
      <c r="K893" s="15">
        <v>79285</v>
      </c>
      <c r="L893" s="6" t="s">
        <v>2421</v>
      </c>
      <c r="M893" s="6" t="s">
        <v>3273</v>
      </c>
      <c r="N893" s="6" t="s">
        <v>3373</v>
      </c>
      <c r="O893" s="6" t="s">
        <v>3381</v>
      </c>
      <c r="P893" s="6" t="s">
        <v>3797</v>
      </c>
      <c r="Q893" s="6">
        <v>2231.96</v>
      </c>
      <c r="R893" s="15">
        <v>4</v>
      </c>
      <c r="S893" s="20">
        <v>0.79</v>
      </c>
      <c r="T893" s="15">
        <v>502.7</v>
      </c>
    </row>
    <row r="894" spans="1:20" x14ac:dyDescent="0.3">
      <c r="A894" s="7" t="s">
        <v>912</v>
      </c>
      <c r="B894" s="13">
        <v>44078.717719907407</v>
      </c>
      <c r="C894" s="13">
        <v>44081.717717717707</v>
      </c>
      <c r="D894" s="8" t="s">
        <v>1020</v>
      </c>
      <c r="E894" s="8" t="s">
        <v>1875</v>
      </c>
      <c r="F894" s="8" t="s">
        <v>2366</v>
      </c>
      <c r="G894" s="8" t="s">
        <v>2407</v>
      </c>
      <c r="H894" s="8" t="s">
        <v>2409</v>
      </c>
      <c r="I894" s="8" t="s">
        <v>2417</v>
      </c>
      <c r="J894" s="16" t="s">
        <v>3898</v>
      </c>
      <c r="K894" s="16">
        <v>36567</v>
      </c>
      <c r="L894" s="8" t="s">
        <v>2421</v>
      </c>
      <c r="M894" s="8" t="s">
        <v>3274</v>
      </c>
      <c r="N894" s="8" t="s">
        <v>3373</v>
      </c>
      <c r="O894" s="8" t="s">
        <v>3380</v>
      </c>
      <c r="P894" s="8" t="s">
        <v>3586</v>
      </c>
      <c r="Q894" s="8">
        <v>936.58</v>
      </c>
      <c r="R894" s="16">
        <v>4</v>
      </c>
      <c r="S894" s="21">
        <v>0.83</v>
      </c>
      <c r="T894" s="16">
        <v>-163.16999999999999</v>
      </c>
    </row>
    <row r="895" spans="1:20" x14ac:dyDescent="0.3">
      <c r="A895" s="5" t="s">
        <v>913</v>
      </c>
      <c r="B895" s="12">
        <v>44079.813819444447</v>
      </c>
      <c r="C895" s="12">
        <v>44083.813813813809</v>
      </c>
      <c r="D895" s="6" t="s">
        <v>1023</v>
      </c>
      <c r="E895" s="6" t="s">
        <v>1876</v>
      </c>
      <c r="F895" s="6" t="s">
        <v>2389</v>
      </c>
      <c r="G895" s="6" t="s">
        <v>2406</v>
      </c>
      <c r="H895" s="6" t="s">
        <v>2409</v>
      </c>
      <c r="I895" s="6" t="s">
        <v>2413</v>
      </c>
      <c r="J895" s="15" t="s">
        <v>3897</v>
      </c>
      <c r="K895" s="15">
        <v>71463</v>
      </c>
      <c r="L895" s="6" t="s">
        <v>2419</v>
      </c>
      <c r="M895" s="6" t="s">
        <v>3275</v>
      </c>
      <c r="N895" s="6" t="s">
        <v>3372</v>
      </c>
      <c r="O895" s="6" t="s">
        <v>3384</v>
      </c>
      <c r="P895" s="6" t="s">
        <v>3825</v>
      </c>
      <c r="Q895" s="6">
        <v>2060.6999999999998</v>
      </c>
      <c r="R895" s="15">
        <v>4</v>
      </c>
      <c r="S895" s="20">
        <v>0.47</v>
      </c>
      <c r="T895" s="15">
        <v>560.07000000000005</v>
      </c>
    </row>
    <row r="896" spans="1:20" x14ac:dyDescent="0.3">
      <c r="A896" s="7" t="s">
        <v>914</v>
      </c>
      <c r="B896" s="13">
        <v>44080.909907407404</v>
      </c>
      <c r="C896" s="13">
        <v>44084.909909909897</v>
      </c>
      <c r="D896" s="8" t="s">
        <v>1022</v>
      </c>
      <c r="E896" s="8" t="s">
        <v>1877</v>
      </c>
      <c r="F896" s="8" t="s">
        <v>2256</v>
      </c>
      <c r="G896" s="8" t="s">
        <v>2406</v>
      </c>
      <c r="H896" s="8" t="s">
        <v>2409</v>
      </c>
      <c r="I896" s="8" t="s">
        <v>2410</v>
      </c>
      <c r="J896" s="16" t="s">
        <v>2410</v>
      </c>
      <c r="K896" s="16">
        <v>22800</v>
      </c>
      <c r="L896" s="8" t="s">
        <v>2419</v>
      </c>
      <c r="M896" s="8" t="s">
        <v>3276</v>
      </c>
      <c r="N896" s="8" t="s">
        <v>3372</v>
      </c>
      <c r="O896" s="8" t="s">
        <v>3376</v>
      </c>
      <c r="P896" s="8" t="s">
        <v>3634</v>
      </c>
      <c r="Q896" s="8">
        <v>3974.56</v>
      </c>
      <c r="R896" s="16">
        <v>14</v>
      </c>
      <c r="S896" s="21">
        <v>0.87</v>
      </c>
      <c r="T896" s="16">
        <v>1925.1</v>
      </c>
    </row>
    <row r="897" spans="1:20" x14ac:dyDescent="0.3">
      <c r="A897" s="5" t="s">
        <v>915</v>
      </c>
      <c r="B897" s="12">
        <v>44082.006006944444</v>
      </c>
      <c r="C897" s="12">
        <v>44083.006006005999</v>
      </c>
      <c r="D897" s="6" t="s">
        <v>1020</v>
      </c>
      <c r="E897" s="6" t="s">
        <v>1878</v>
      </c>
      <c r="F897" s="6" t="s">
        <v>2390</v>
      </c>
      <c r="G897" s="6" t="s">
        <v>2408</v>
      </c>
      <c r="H897" s="6" t="s">
        <v>2409</v>
      </c>
      <c r="I897" s="6" t="s">
        <v>2412</v>
      </c>
      <c r="J897" s="15" t="s">
        <v>3894</v>
      </c>
      <c r="K897" s="15">
        <v>31227</v>
      </c>
      <c r="L897" s="6" t="s">
        <v>2419</v>
      </c>
      <c r="M897" s="6" t="s">
        <v>3277</v>
      </c>
      <c r="N897" s="6" t="s">
        <v>3373</v>
      </c>
      <c r="O897" s="6" t="s">
        <v>3380</v>
      </c>
      <c r="P897" s="6" t="s">
        <v>3811</v>
      </c>
      <c r="Q897" s="6">
        <v>3398.81</v>
      </c>
      <c r="R897" s="15">
        <v>14</v>
      </c>
      <c r="S897" s="20">
        <v>0.74</v>
      </c>
      <c r="T897" s="15">
        <v>1202.69</v>
      </c>
    </row>
    <row r="898" spans="1:20" x14ac:dyDescent="0.3">
      <c r="A898" s="7" t="s">
        <v>916</v>
      </c>
      <c r="B898" s="13">
        <v>44083.102106481485</v>
      </c>
      <c r="C898" s="13">
        <v>44086.102102102093</v>
      </c>
      <c r="D898" s="8" t="s">
        <v>1020</v>
      </c>
      <c r="E898" s="8" t="s">
        <v>1879</v>
      </c>
      <c r="F898" s="8" t="s">
        <v>2072</v>
      </c>
      <c r="G898" s="8" t="s">
        <v>2408</v>
      </c>
      <c r="H898" s="8" t="s">
        <v>2409</v>
      </c>
      <c r="I898" s="8" t="s">
        <v>2412</v>
      </c>
      <c r="J898" s="16" t="s">
        <v>3898</v>
      </c>
      <c r="K898" s="16">
        <v>70009</v>
      </c>
      <c r="L898" s="8" t="s">
        <v>2422</v>
      </c>
      <c r="M898" s="8" t="s">
        <v>3278</v>
      </c>
      <c r="N898" s="8" t="s">
        <v>3371</v>
      </c>
      <c r="O898" s="8" t="s">
        <v>3382</v>
      </c>
      <c r="P898" s="8" t="s">
        <v>3846</v>
      </c>
      <c r="Q898" s="8">
        <v>2593.9</v>
      </c>
      <c r="R898" s="16">
        <v>13</v>
      </c>
      <c r="S898" s="21">
        <v>0.28999999999999998</v>
      </c>
      <c r="T898" s="16">
        <v>1460.83</v>
      </c>
    </row>
    <row r="899" spans="1:20" x14ac:dyDescent="0.3">
      <c r="A899" s="5" t="s">
        <v>917</v>
      </c>
      <c r="B899" s="12">
        <v>44084.198194444441</v>
      </c>
      <c r="C899" s="12">
        <v>44087.198198198203</v>
      </c>
      <c r="D899" s="6" t="s">
        <v>1020</v>
      </c>
      <c r="E899" s="6" t="s">
        <v>1880</v>
      </c>
      <c r="F899" s="6" t="s">
        <v>2293</v>
      </c>
      <c r="G899" s="6" t="s">
        <v>2408</v>
      </c>
      <c r="H899" s="6" t="s">
        <v>2409</v>
      </c>
      <c r="I899" s="6" t="s">
        <v>2417</v>
      </c>
      <c r="J899" s="15" t="s">
        <v>3898</v>
      </c>
      <c r="K899" s="15">
        <v>46305</v>
      </c>
      <c r="L899" s="6" t="s">
        <v>2420</v>
      </c>
      <c r="M899" s="6" t="s">
        <v>3279</v>
      </c>
      <c r="N899" s="6" t="s">
        <v>3371</v>
      </c>
      <c r="O899" s="6" t="s">
        <v>3382</v>
      </c>
      <c r="P899" s="6" t="s">
        <v>3833</v>
      </c>
      <c r="Q899" s="6">
        <v>3539.69</v>
      </c>
      <c r="R899" s="15">
        <v>14</v>
      </c>
      <c r="S899" s="20">
        <v>0.04</v>
      </c>
      <c r="T899" s="15">
        <v>-324.47000000000003</v>
      </c>
    </row>
    <row r="900" spans="1:20" x14ac:dyDescent="0.3">
      <c r="A900" s="7" t="s">
        <v>918</v>
      </c>
      <c r="B900" s="13">
        <v>44085.294293981482</v>
      </c>
      <c r="C900" s="13">
        <v>44087.294294294297</v>
      </c>
      <c r="D900" s="8" t="s">
        <v>1023</v>
      </c>
      <c r="E900" s="8" t="s">
        <v>1881</v>
      </c>
      <c r="F900" s="8" t="s">
        <v>1989</v>
      </c>
      <c r="G900" s="8" t="s">
        <v>2406</v>
      </c>
      <c r="H900" s="8" t="s">
        <v>2409</v>
      </c>
      <c r="I900" s="8" t="s">
        <v>2411</v>
      </c>
      <c r="J900" s="16" t="s">
        <v>3898</v>
      </c>
      <c r="K900" s="16">
        <v>25833</v>
      </c>
      <c r="L900" s="8" t="s">
        <v>2422</v>
      </c>
      <c r="M900" s="8" t="s">
        <v>3280</v>
      </c>
      <c r="N900" s="8" t="s">
        <v>3371</v>
      </c>
      <c r="O900" s="8" t="s">
        <v>3383</v>
      </c>
      <c r="P900" s="8" t="s">
        <v>3446</v>
      </c>
      <c r="Q900" s="8">
        <v>379.65</v>
      </c>
      <c r="R900" s="16">
        <v>5</v>
      </c>
      <c r="S900" s="21">
        <v>0.49</v>
      </c>
      <c r="T900" s="16">
        <v>212.92</v>
      </c>
    </row>
    <row r="901" spans="1:20" x14ac:dyDescent="0.3">
      <c r="A901" s="5" t="s">
        <v>919</v>
      </c>
      <c r="B901" s="12">
        <v>44086.390393518515</v>
      </c>
      <c r="C901" s="12">
        <v>44087.390390390377</v>
      </c>
      <c r="D901" s="6" t="s">
        <v>1021</v>
      </c>
      <c r="E901" s="6" t="s">
        <v>1882</v>
      </c>
      <c r="F901" s="6" t="s">
        <v>2386</v>
      </c>
      <c r="G901" s="6" t="s">
        <v>2406</v>
      </c>
      <c r="H901" s="6" t="s">
        <v>2409</v>
      </c>
      <c r="I901" s="6" t="s">
        <v>2411</v>
      </c>
      <c r="J901" s="15" t="s">
        <v>3894</v>
      </c>
      <c r="K901" s="15">
        <v>73214</v>
      </c>
      <c r="L901" s="6" t="s">
        <v>2421</v>
      </c>
      <c r="M901" s="6" t="s">
        <v>3281</v>
      </c>
      <c r="N901" s="6" t="s">
        <v>3371</v>
      </c>
      <c r="O901" s="6" t="s">
        <v>3382</v>
      </c>
      <c r="P901" s="6" t="s">
        <v>3847</v>
      </c>
      <c r="Q901" s="6">
        <v>4607.84</v>
      </c>
      <c r="R901" s="15">
        <v>5</v>
      </c>
      <c r="S901" s="20">
        <v>0.71</v>
      </c>
      <c r="T901" s="15">
        <v>1708.64</v>
      </c>
    </row>
    <row r="902" spans="1:20" x14ac:dyDescent="0.3">
      <c r="A902" s="7" t="s">
        <v>920</v>
      </c>
      <c r="B902" s="13">
        <v>44087.486481481479</v>
      </c>
      <c r="C902" s="13">
        <v>44092.486486486479</v>
      </c>
      <c r="D902" s="8" t="s">
        <v>1020</v>
      </c>
      <c r="E902" s="8" t="s">
        <v>1883</v>
      </c>
      <c r="F902" s="8" t="s">
        <v>2220</v>
      </c>
      <c r="G902" s="8" t="s">
        <v>2407</v>
      </c>
      <c r="H902" s="8" t="s">
        <v>2409</v>
      </c>
      <c r="I902" s="8" t="s">
        <v>2418</v>
      </c>
      <c r="J902" s="16" t="s">
        <v>3897</v>
      </c>
      <c r="K902" s="16">
        <v>45329</v>
      </c>
      <c r="L902" s="8" t="s">
        <v>2420</v>
      </c>
      <c r="M902" s="8" t="s">
        <v>2494</v>
      </c>
      <c r="N902" s="8" t="s">
        <v>3371</v>
      </c>
      <c r="O902" s="8" t="s">
        <v>3375</v>
      </c>
      <c r="P902" s="8" t="s">
        <v>3462</v>
      </c>
      <c r="Q902" s="8">
        <v>2937.75</v>
      </c>
      <c r="R902" s="16">
        <v>6</v>
      </c>
      <c r="S902" s="21">
        <v>0.75</v>
      </c>
      <c r="T902" s="16">
        <v>334.65</v>
      </c>
    </row>
    <row r="903" spans="1:20" x14ac:dyDescent="0.3">
      <c r="A903" s="5" t="s">
        <v>921</v>
      </c>
      <c r="B903" s="12">
        <v>44088.58258101852</v>
      </c>
      <c r="C903" s="12">
        <v>44091.582582582581</v>
      </c>
      <c r="D903" s="6" t="s">
        <v>1022</v>
      </c>
      <c r="E903" s="6" t="s">
        <v>1884</v>
      </c>
      <c r="F903" s="6" t="s">
        <v>2305</v>
      </c>
      <c r="G903" s="6" t="s">
        <v>2407</v>
      </c>
      <c r="H903" s="6" t="s">
        <v>2409</v>
      </c>
      <c r="I903" s="6" t="s">
        <v>2411</v>
      </c>
      <c r="J903" s="15" t="s">
        <v>3898</v>
      </c>
      <c r="K903" s="15">
        <v>52543</v>
      </c>
      <c r="L903" s="6" t="s">
        <v>2420</v>
      </c>
      <c r="M903" s="6" t="s">
        <v>3282</v>
      </c>
      <c r="N903" s="6" t="s">
        <v>3373</v>
      </c>
      <c r="O903" s="6" t="s">
        <v>3385</v>
      </c>
      <c r="P903" s="6" t="s">
        <v>3772</v>
      </c>
      <c r="Q903" s="6">
        <v>4247.95</v>
      </c>
      <c r="R903" s="15">
        <v>1</v>
      </c>
      <c r="S903" s="20">
        <v>0.61</v>
      </c>
      <c r="T903" s="15">
        <v>2021.52</v>
      </c>
    </row>
    <row r="904" spans="1:20" x14ac:dyDescent="0.3">
      <c r="A904" s="7" t="s">
        <v>922</v>
      </c>
      <c r="B904" s="13">
        <v>44089.678680555553</v>
      </c>
      <c r="C904" s="13">
        <v>44092.678678678669</v>
      </c>
      <c r="D904" s="8" t="s">
        <v>1020</v>
      </c>
      <c r="E904" s="8" t="s">
        <v>1885</v>
      </c>
      <c r="F904" s="8" t="s">
        <v>2378</v>
      </c>
      <c r="G904" s="8" t="s">
        <v>2407</v>
      </c>
      <c r="H904" s="8" t="s">
        <v>2409</v>
      </c>
      <c r="I904" s="8" t="s">
        <v>2414</v>
      </c>
      <c r="J904" s="16" t="s">
        <v>3894</v>
      </c>
      <c r="K904" s="16">
        <v>63925</v>
      </c>
      <c r="L904" s="8" t="s">
        <v>2420</v>
      </c>
      <c r="M904" s="8" t="s">
        <v>3283</v>
      </c>
      <c r="N904" s="8" t="s">
        <v>3371</v>
      </c>
      <c r="O904" s="8" t="s">
        <v>3382</v>
      </c>
      <c r="P904" s="8" t="s">
        <v>3667</v>
      </c>
      <c r="Q904" s="8">
        <v>785.77</v>
      </c>
      <c r="R904" s="16">
        <v>8</v>
      </c>
      <c r="S904" s="21">
        <v>0.68</v>
      </c>
      <c r="T904" s="16">
        <v>454.92</v>
      </c>
    </row>
    <row r="905" spans="1:20" x14ac:dyDescent="0.3">
      <c r="A905" s="5" t="s">
        <v>923</v>
      </c>
      <c r="B905" s="12">
        <v>44090.774780092594</v>
      </c>
      <c r="C905" s="12">
        <v>44095.774774774771</v>
      </c>
      <c r="D905" s="6" t="s">
        <v>1021</v>
      </c>
      <c r="E905" s="6" t="s">
        <v>1886</v>
      </c>
      <c r="F905" s="6" t="s">
        <v>2314</v>
      </c>
      <c r="G905" s="6" t="s">
        <v>2408</v>
      </c>
      <c r="H905" s="6" t="s">
        <v>2409</v>
      </c>
      <c r="I905" s="6" t="s">
        <v>2412</v>
      </c>
      <c r="J905" s="15" t="s">
        <v>3898</v>
      </c>
      <c r="K905" s="15">
        <v>13429</v>
      </c>
      <c r="L905" s="6" t="s">
        <v>2421</v>
      </c>
      <c r="M905" s="6" t="s">
        <v>3284</v>
      </c>
      <c r="N905" s="6" t="s">
        <v>3373</v>
      </c>
      <c r="O905" s="6" t="s">
        <v>3385</v>
      </c>
      <c r="P905" s="6" t="s">
        <v>3510</v>
      </c>
      <c r="Q905" s="6">
        <v>561.83000000000004</v>
      </c>
      <c r="R905" s="15">
        <v>12</v>
      </c>
      <c r="S905" s="20">
        <v>0.3</v>
      </c>
      <c r="T905" s="15">
        <v>-28.21</v>
      </c>
    </row>
    <row r="906" spans="1:20" x14ac:dyDescent="0.3">
      <c r="A906" s="7" t="s">
        <v>924</v>
      </c>
      <c r="B906" s="13">
        <v>44091.870868055557</v>
      </c>
      <c r="C906" s="13">
        <v>44095.870870870873</v>
      </c>
      <c r="D906" s="8" t="s">
        <v>1023</v>
      </c>
      <c r="E906" s="8" t="s">
        <v>1887</v>
      </c>
      <c r="F906" s="8" t="s">
        <v>2267</v>
      </c>
      <c r="G906" s="8" t="s">
        <v>2406</v>
      </c>
      <c r="H906" s="8" t="s">
        <v>2409</v>
      </c>
      <c r="I906" s="8" t="s">
        <v>2410</v>
      </c>
      <c r="J906" s="16" t="s">
        <v>3894</v>
      </c>
      <c r="K906" s="16">
        <v>95820</v>
      </c>
      <c r="L906" s="8" t="s">
        <v>2422</v>
      </c>
      <c r="M906" s="8" t="s">
        <v>3285</v>
      </c>
      <c r="N906" s="8" t="s">
        <v>3372</v>
      </c>
      <c r="O906" s="8" t="s">
        <v>3378</v>
      </c>
      <c r="P906" s="8" t="s">
        <v>3599</v>
      </c>
      <c r="Q906" s="8">
        <v>1853.91</v>
      </c>
      <c r="R906" s="16">
        <v>11</v>
      </c>
      <c r="S906" s="21">
        <v>0.46</v>
      </c>
      <c r="T906" s="16">
        <v>613.77</v>
      </c>
    </row>
    <row r="907" spans="1:20" x14ac:dyDescent="0.3">
      <c r="A907" s="5" t="s">
        <v>925</v>
      </c>
      <c r="B907" s="12">
        <v>44092.966967592591</v>
      </c>
      <c r="C907" s="12">
        <v>44093.966966966953</v>
      </c>
      <c r="D907" s="6" t="s">
        <v>1023</v>
      </c>
      <c r="E907" s="6" t="s">
        <v>1888</v>
      </c>
      <c r="F907" s="6" t="s">
        <v>2015</v>
      </c>
      <c r="G907" s="6" t="s">
        <v>2407</v>
      </c>
      <c r="H907" s="6" t="s">
        <v>2409</v>
      </c>
      <c r="I907" s="6" t="s">
        <v>2416</v>
      </c>
      <c r="J907" s="15" t="s">
        <v>3896</v>
      </c>
      <c r="K907" s="15">
        <v>81516</v>
      </c>
      <c r="L907" s="6" t="s">
        <v>2422</v>
      </c>
      <c r="M907" s="6" t="s">
        <v>3286</v>
      </c>
      <c r="N907" s="6" t="s">
        <v>3372</v>
      </c>
      <c r="O907" s="6" t="s">
        <v>3384</v>
      </c>
      <c r="P907" s="6" t="s">
        <v>3532</v>
      </c>
      <c r="Q907" s="6">
        <v>1726.95</v>
      </c>
      <c r="R907" s="15">
        <v>8</v>
      </c>
      <c r="S907" s="20">
        <v>0.06</v>
      </c>
      <c r="T907" s="15">
        <v>-171.1</v>
      </c>
    </row>
    <row r="908" spans="1:20" x14ac:dyDescent="0.3">
      <c r="A908" s="7" t="s">
        <v>926</v>
      </c>
      <c r="B908" s="13">
        <v>44094.063067129631</v>
      </c>
      <c r="C908" s="13">
        <v>44095.063063063048</v>
      </c>
      <c r="D908" s="8" t="s">
        <v>1022</v>
      </c>
      <c r="E908" s="8" t="s">
        <v>1889</v>
      </c>
      <c r="F908" s="8" t="s">
        <v>2315</v>
      </c>
      <c r="G908" s="8" t="s">
        <v>2406</v>
      </c>
      <c r="H908" s="8" t="s">
        <v>2409</v>
      </c>
      <c r="I908" s="8" t="s">
        <v>2412</v>
      </c>
      <c r="J908" s="16" t="s">
        <v>3896</v>
      </c>
      <c r="K908" s="16">
        <v>86932</v>
      </c>
      <c r="L908" s="8" t="s">
        <v>2420</v>
      </c>
      <c r="M908" s="8" t="s">
        <v>3287</v>
      </c>
      <c r="N908" s="8" t="s">
        <v>3372</v>
      </c>
      <c r="O908" s="8" t="s">
        <v>3377</v>
      </c>
      <c r="P908" s="8" t="s">
        <v>3586</v>
      </c>
      <c r="Q908" s="8">
        <v>2753.54</v>
      </c>
      <c r="R908" s="16">
        <v>8</v>
      </c>
      <c r="S908" s="21">
        <v>0.66</v>
      </c>
      <c r="T908" s="16">
        <v>325.61</v>
      </c>
    </row>
    <row r="909" spans="1:20" x14ac:dyDescent="0.3">
      <c r="A909" s="5" t="s">
        <v>927</v>
      </c>
      <c r="B909" s="12">
        <v>44095.159155092595</v>
      </c>
      <c r="C909" s="12">
        <v>44099.159159159157</v>
      </c>
      <c r="D909" s="6" t="s">
        <v>1023</v>
      </c>
      <c r="E909" s="6" t="s">
        <v>1890</v>
      </c>
      <c r="F909" s="6" t="s">
        <v>2077</v>
      </c>
      <c r="G909" s="6" t="s">
        <v>2406</v>
      </c>
      <c r="H909" s="6" t="s">
        <v>2409</v>
      </c>
      <c r="I909" s="6" t="s">
        <v>2415</v>
      </c>
      <c r="J909" s="15" t="s">
        <v>3893</v>
      </c>
      <c r="K909" s="15">
        <v>57172</v>
      </c>
      <c r="L909" s="6" t="s">
        <v>2421</v>
      </c>
      <c r="M909" s="6" t="s">
        <v>3288</v>
      </c>
      <c r="N909" s="6" t="s">
        <v>3373</v>
      </c>
      <c r="O909" s="6" t="s">
        <v>3380</v>
      </c>
      <c r="P909" s="6" t="s">
        <v>3848</v>
      </c>
      <c r="Q909" s="6">
        <v>3898.79</v>
      </c>
      <c r="R909" s="15">
        <v>8</v>
      </c>
      <c r="S909" s="20">
        <v>0.61</v>
      </c>
      <c r="T909" s="15">
        <v>324.26</v>
      </c>
    </row>
    <row r="910" spans="1:20" x14ac:dyDescent="0.3">
      <c r="A910" s="7" t="s">
        <v>928</v>
      </c>
      <c r="B910" s="13">
        <v>44096.255254629628</v>
      </c>
      <c r="C910" s="13">
        <v>44102.255255255252</v>
      </c>
      <c r="D910" s="8" t="s">
        <v>1023</v>
      </c>
      <c r="E910" s="8" t="s">
        <v>1891</v>
      </c>
      <c r="F910" s="8" t="s">
        <v>2391</v>
      </c>
      <c r="G910" s="8" t="s">
        <v>2407</v>
      </c>
      <c r="H910" s="8" t="s">
        <v>2409</v>
      </c>
      <c r="I910" s="8" t="s">
        <v>2413</v>
      </c>
      <c r="J910" s="16" t="s">
        <v>3891</v>
      </c>
      <c r="K910" s="16">
        <v>35545</v>
      </c>
      <c r="L910" s="8" t="s">
        <v>2421</v>
      </c>
      <c r="M910" s="8" t="s">
        <v>3289</v>
      </c>
      <c r="N910" s="8" t="s">
        <v>3373</v>
      </c>
      <c r="O910" s="8" t="s">
        <v>3381</v>
      </c>
      <c r="P910" s="8" t="s">
        <v>3849</v>
      </c>
      <c r="Q910" s="8">
        <v>2713.82</v>
      </c>
      <c r="R910" s="16">
        <v>6</v>
      </c>
      <c r="S910" s="21">
        <v>0.06</v>
      </c>
      <c r="T910" s="16">
        <v>-511.23</v>
      </c>
    </row>
    <row r="911" spans="1:20" x14ac:dyDescent="0.3">
      <c r="A911" s="5" t="s">
        <v>929</v>
      </c>
      <c r="B911" s="12">
        <v>44097.351354166669</v>
      </c>
      <c r="C911" s="12">
        <v>44103.351351351339</v>
      </c>
      <c r="D911" s="6" t="s">
        <v>1022</v>
      </c>
      <c r="E911" s="6" t="s">
        <v>1110</v>
      </c>
      <c r="F911" s="6" t="s">
        <v>2392</v>
      </c>
      <c r="G911" s="6" t="s">
        <v>2408</v>
      </c>
      <c r="H911" s="6" t="s">
        <v>2409</v>
      </c>
      <c r="I911" s="6" t="s">
        <v>2410</v>
      </c>
      <c r="J911" s="15" t="s">
        <v>2410</v>
      </c>
      <c r="K911" s="15">
        <v>28888</v>
      </c>
      <c r="L911" s="6" t="s">
        <v>2422</v>
      </c>
      <c r="M911" s="6" t="s">
        <v>3290</v>
      </c>
      <c r="N911" s="6" t="s">
        <v>3373</v>
      </c>
      <c r="O911" s="6" t="s">
        <v>3380</v>
      </c>
      <c r="P911" s="6" t="s">
        <v>3436</v>
      </c>
      <c r="Q911" s="6">
        <v>1032.6199999999999</v>
      </c>
      <c r="R911" s="15">
        <v>10</v>
      </c>
      <c r="S911" s="20">
        <v>0.51</v>
      </c>
      <c r="T911" s="15">
        <v>-53.91</v>
      </c>
    </row>
    <row r="912" spans="1:20" x14ac:dyDescent="0.3">
      <c r="A912" s="7" t="s">
        <v>930</v>
      </c>
      <c r="B912" s="13">
        <v>44098.447442129633</v>
      </c>
      <c r="C912" s="13">
        <v>44100.447447447441</v>
      </c>
      <c r="D912" s="8" t="s">
        <v>1021</v>
      </c>
      <c r="E912" s="8" t="s">
        <v>1892</v>
      </c>
      <c r="F912" s="8" t="s">
        <v>2285</v>
      </c>
      <c r="G912" s="8" t="s">
        <v>2406</v>
      </c>
      <c r="H912" s="8" t="s">
        <v>2409</v>
      </c>
      <c r="I912" s="8" t="s">
        <v>2415</v>
      </c>
      <c r="J912" s="16" t="s">
        <v>3898</v>
      </c>
      <c r="K912" s="16">
        <v>23615</v>
      </c>
      <c r="L912" s="8" t="s">
        <v>2421</v>
      </c>
      <c r="M912" s="8" t="s">
        <v>3291</v>
      </c>
      <c r="N912" s="8" t="s">
        <v>3372</v>
      </c>
      <c r="O912" s="8" t="s">
        <v>3376</v>
      </c>
      <c r="P912" s="8" t="s">
        <v>3498</v>
      </c>
      <c r="Q912" s="8">
        <v>3420.6</v>
      </c>
      <c r="R912" s="16">
        <v>12</v>
      </c>
      <c r="S912" s="21">
        <v>0.68</v>
      </c>
      <c r="T912" s="16">
        <v>478.85</v>
      </c>
    </row>
    <row r="913" spans="1:20" x14ac:dyDescent="0.3">
      <c r="A913" s="5" t="s">
        <v>931</v>
      </c>
      <c r="B913" s="12">
        <v>44099.543541666666</v>
      </c>
      <c r="C913" s="12">
        <v>44105.543543543543</v>
      </c>
      <c r="D913" s="6" t="s">
        <v>1022</v>
      </c>
      <c r="E913" s="6" t="s">
        <v>1893</v>
      </c>
      <c r="F913" s="6" t="s">
        <v>2195</v>
      </c>
      <c r="G913" s="6" t="s">
        <v>2407</v>
      </c>
      <c r="H913" s="6" t="s">
        <v>2409</v>
      </c>
      <c r="I913" s="6" t="s">
        <v>2415</v>
      </c>
      <c r="J913" s="15" t="s">
        <v>3898</v>
      </c>
      <c r="K913" s="15">
        <v>58181</v>
      </c>
      <c r="L913" s="6" t="s">
        <v>2420</v>
      </c>
      <c r="M913" s="6" t="s">
        <v>3292</v>
      </c>
      <c r="N913" s="6" t="s">
        <v>3373</v>
      </c>
      <c r="O913" s="6" t="s">
        <v>3379</v>
      </c>
      <c r="P913" s="6" t="s">
        <v>3570</v>
      </c>
      <c r="Q913" s="6">
        <v>3696.06</v>
      </c>
      <c r="R913" s="15">
        <v>13</v>
      </c>
      <c r="S913" s="20">
        <v>0.3</v>
      </c>
      <c r="T913" s="15">
        <v>1338.47</v>
      </c>
    </row>
    <row r="914" spans="1:20" x14ac:dyDescent="0.3">
      <c r="A914" s="7" t="s">
        <v>932</v>
      </c>
      <c r="B914" s="13">
        <v>44100.639641203707</v>
      </c>
      <c r="C914" s="13">
        <v>44106.63963963963</v>
      </c>
      <c r="D914" s="8" t="s">
        <v>1022</v>
      </c>
      <c r="E914" s="8" t="s">
        <v>1894</v>
      </c>
      <c r="F914" s="8" t="s">
        <v>2345</v>
      </c>
      <c r="G914" s="8" t="s">
        <v>2407</v>
      </c>
      <c r="H914" s="8" t="s">
        <v>2409</v>
      </c>
      <c r="I914" s="8" t="s">
        <v>2410</v>
      </c>
      <c r="J914" s="16" t="s">
        <v>3895</v>
      </c>
      <c r="K914" s="16">
        <v>40080</v>
      </c>
      <c r="L914" s="8" t="s">
        <v>2421</v>
      </c>
      <c r="M914" s="8" t="s">
        <v>3293</v>
      </c>
      <c r="N914" s="8" t="s">
        <v>3373</v>
      </c>
      <c r="O914" s="8" t="s">
        <v>3379</v>
      </c>
      <c r="P914" s="8" t="s">
        <v>3538</v>
      </c>
      <c r="Q914" s="8">
        <v>914.88</v>
      </c>
      <c r="R914" s="16">
        <v>13</v>
      </c>
      <c r="S914" s="21">
        <v>0.54</v>
      </c>
      <c r="T914" s="16">
        <v>489.65</v>
      </c>
    </row>
    <row r="915" spans="1:20" x14ac:dyDescent="0.3">
      <c r="A915" s="5" t="s">
        <v>933</v>
      </c>
      <c r="B915" s="12">
        <v>44101.73574074074</v>
      </c>
      <c r="C915" s="12">
        <v>44105.735735735732</v>
      </c>
      <c r="D915" s="6" t="s">
        <v>1020</v>
      </c>
      <c r="E915" s="6" t="s">
        <v>1895</v>
      </c>
      <c r="F915" s="6" t="s">
        <v>2018</v>
      </c>
      <c r="G915" s="6" t="s">
        <v>2406</v>
      </c>
      <c r="H915" s="6" t="s">
        <v>2409</v>
      </c>
      <c r="I915" s="6" t="s">
        <v>2412</v>
      </c>
      <c r="J915" s="15" t="s">
        <v>2410</v>
      </c>
      <c r="K915" s="15">
        <v>89774</v>
      </c>
      <c r="L915" s="6" t="s">
        <v>2419</v>
      </c>
      <c r="M915" s="6" t="s">
        <v>3294</v>
      </c>
      <c r="N915" s="6" t="s">
        <v>3371</v>
      </c>
      <c r="O915" s="6" t="s">
        <v>3382</v>
      </c>
      <c r="P915" s="6" t="s">
        <v>3491</v>
      </c>
      <c r="Q915" s="6">
        <v>2989.92</v>
      </c>
      <c r="R915" s="15">
        <v>14</v>
      </c>
      <c r="S915" s="20">
        <v>0.26</v>
      </c>
      <c r="T915" s="15">
        <v>-403.41</v>
      </c>
    </row>
    <row r="916" spans="1:20" x14ac:dyDescent="0.3">
      <c r="A916" s="7" t="s">
        <v>934</v>
      </c>
      <c r="B916" s="13">
        <v>44102.831828703704</v>
      </c>
      <c r="C916" s="13">
        <v>44105.831831831827</v>
      </c>
      <c r="D916" s="8" t="s">
        <v>1022</v>
      </c>
      <c r="E916" s="8" t="s">
        <v>1896</v>
      </c>
      <c r="F916" s="8" t="s">
        <v>2298</v>
      </c>
      <c r="G916" s="8" t="s">
        <v>2406</v>
      </c>
      <c r="H916" s="8" t="s">
        <v>2409</v>
      </c>
      <c r="I916" s="8" t="s">
        <v>2416</v>
      </c>
      <c r="J916" s="16" t="s">
        <v>2410</v>
      </c>
      <c r="K916" s="16">
        <v>52504</v>
      </c>
      <c r="L916" s="8" t="s">
        <v>2421</v>
      </c>
      <c r="M916" s="8" t="s">
        <v>3295</v>
      </c>
      <c r="N916" s="8" t="s">
        <v>3373</v>
      </c>
      <c r="O916" s="8" t="s">
        <v>3381</v>
      </c>
      <c r="P916" s="8" t="s">
        <v>3779</v>
      </c>
      <c r="Q916" s="8">
        <v>3221.66</v>
      </c>
      <c r="R916" s="16">
        <v>12</v>
      </c>
      <c r="S916" s="21">
        <v>0.52</v>
      </c>
      <c r="T916" s="16">
        <v>983.82</v>
      </c>
    </row>
    <row r="917" spans="1:20" x14ac:dyDescent="0.3">
      <c r="A917" s="5" t="s">
        <v>935</v>
      </c>
      <c r="B917" s="12">
        <v>44103.927928240744</v>
      </c>
      <c r="C917" s="12">
        <v>44109.927927927907</v>
      </c>
      <c r="D917" s="6" t="s">
        <v>1021</v>
      </c>
      <c r="E917" s="6" t="s">
        <v>1727</v>
      </c>
      <c r="F917" s="6" t="s">
        <v>2351</v>
      </c>
      <c r="G917" s="6" t="s">
        <v>2406</v>
      </c>
      <c r="H917" s="6" t="s">
        <v>2409</v>
      </c>
      <c r="I917" s="6" t="s">
        <v>2418</v>
      </c>
      <c r="J917" s="15" t="s">
        <v>3894</v>
      </c>
      <c r="K917" s="15">
        <v>61753</v>
      </c>
      <c r="L917" s="6" t="s">
        <v>2420</v>
      </c>
      <c r="M917" s="6" t="s">
        <v>3296</v>
      </c>
      <c r="N917" s="6" t="s">
        <v>3371</v>
      </c>
      <c r="O917" s="6" t="s">
        <v>3374</v>
      </c>
      <c r="P917" s="6" t="s">
        <v>3497</v>
      </c>
      <c r="Q917" s="6">
        <v>2258.33</v>
      </c>
      <c r="R917" s="15">
        <v>13</v>
      </c>
      <c r="S917" s="20">
        <v>0.02</v>
      </c>
      <c r="T917" s="15">
        <v>330.72</v>
      </c>
    </row>
    <row r="918" spans="1:20" x14ac:dyDescent="0.3">
      <c r="A918" s="7" t="s">
        <v>936</v>
      </c>
      <c r="B918" s="13">
        <v>44105.024027777778</v>
      </c>
      <c r="C918" s="13">
        <v>44106.024024024016</v>
      </c>
      <c r="D918" s="8" t="s">
        <v>1023</v>
      </c>
      <c r="E918" s="8" t="s">
        <v>1897</v>
      </c>
      <c r="F918" s="8" t="s">
        <v>2393</v>
      </c>
      <c r="G918" s="8" t="s">
        <v>2408</v>
      </c>
      <c r="H918" s="8" t="s">
        <v>2409</v>
      </c>
      <c r="I918" s="8" t="s">
        <v>2415</v>
      </c>
      <c r="J918" s="16" t="s">
        <v>2410</v>
      </c>
      <c r="K918" s="16">
        <v>14811</v>
      </c>
      <c r="L918" s="8" t="s">
        <v>2420</v>
      </c>
      <c r="M918" s="8" t="s">
        <v>3297</v>
      </c>
      <c r="N918" s="8" t="s">
        <v>3373</v>
      </c>
      <c r="O918" s="8" t="s">
        <v>3385</v>
      </c>
      <c r="P918" s="8" t="s">
        <v>3508</v>
      </c>
      <c r="Q918" s="8">
        <v>2421.41</v>
      </c>
      <c r="R918" s="16">
        <v>8</v>
      </c>
      <c r="S918" s="21">
        <v>0.14000000000000001</v>
      </c>
      <c r="T918" s="16">
        <v>602.75</v>
      </c>
    </row>
    <row r="919" spans="1:20" x14ac:dyDescent="0.3">
      <c r="A919" s="5" t="s">
        <v>937</v>
      </c>
      <c r="B919" s="12">
        <v>44106.120115740741</v>
      </c>
      <c r="C919" s="12">
        <v>44112.120120120118</v>
      </c>
      <c r="D919" s="6" t="s">
        <v>1023</v>
      </c>
      <c r="E919" s="6" t="s">
        <v>1898</v>
      </c>
      <c r="F919" s="6" t="s">
        <v>2394</v>
      </c>
      <c r="G919" s="6" t="s">
        <v>2406</v>
      </c>
      <c r="H919" s="6" t="s">
        <v>2409</v>
      </c>
      <c r="I919" s="6" t="s">
        <v>2417</v>
      </c>
      <c r="J919" s="15" t="s">
        <v>3897</v>
      </c>
      <c r="K919" s="15">
        <v>56590</v>
      </c>
      <c r="L919" s="6" t="s">
        <v>2421</v>
      </c>
      <c r="M919" s="6" t="s">
        <v>3298</v>
      </c>
      <c r="N919" s="6" t="s">
        <v>3371</v>
      </c>
      <c r="O919" s="6" t="s">
        <v>3383</v>
      </c>
      <c r="P919" s="6" t="s">
        <v>3843</v>
      </c>
      <c r="Q919" s="6">
        <v>1146.73</v>
      </c>
      <c r="R919" s="15">
        <v>9</v>
      </c>
      <c r="S919" s="20">
        <v>0.05</v>
      </c>
      <c r="T919" s="15">
        <v>643.73</v>
      </c>
    </row>
    <row r="920" spans="1:20" x14ac:dyDescent="0.3">
      <c r="A920" s="7" t="s">
        <v>938</v>
      </c>
      <c r="B920" s="13">
        <v>44107.216215277775</v>
      </c>
      <c r="C920" s="13">
        <v>44110.216216216213</v>
      </c>
      <c r="D920" s="8" t="s">
        <v>1022</v>
      </c>
      <c r="E920" s="8" t="s">
        <v>1899</v>
      </c>
      <c r="F920" s="8" t="s">
        <v>2089</v>
      </c>
      <c r="G920" s="8" t="s">
        <v>2408</v>
      </c>
      <c r="H920" s="8" t="s">
        <v>2409</v>
      </c>
      <c r="I920" s="8" t="s">
        <v>2417</v>
      </c>
      <c r="J920" s="16" t="s">
        <v>3898</v>
      </c>
      <c r="K920" s="16">
        <v>86124</v>
      </c>
      <c r="L920" s="8" t="s">
        <v>2421</v>
      </c>
      <c r="M920" s="8" t="s">
        <v>3299</v>
      </c>
      <c r="N920" s="8" t="s">
        <v>3371</v>
      </c>
      <c r="O920" s="8" t="s">
        <v>3382</v>
      </c>
      <c r="P920" s="8" t="s">
        <v>3431</v>
      </c>
      <c r="Q920" s="8">
        <v>3016.05</v>
      </c>
      <c r="R920" s="16">
        <v>9</v>
      </c>
      <c r="S920" s="21">
        <v>0.02</v>
      </c>
      <c r="T920" s="16">
        <v>-497.68</v>
      </c>
    </row>
    <row r="921" spans="1:20" x14ac:dyDescent="0.3">
      <c r="A921" s="5" t="s">
        <v>939</v>
      </c>
      <c r="B921" s="12">
        <v>44108.312314814815</v>
      </c>
      <c r="C921" s="12">
        <v>44109.3123123123</v>
      </c>
      <c r="D921" s="6" t="s">
        <v>1022</v>
      </c>
      <c r="E921" s="6" t="s">
        <v>1900</v>
      </c>
      <c r="F921" s="6" t="s">
        <v>2378</v>
      </c>
      <c r="G921" s="6" t="s">
        <v>2408</v>
      </c>
      <c r="H921" s="6" t="s">
        <v>2409</v>
      </c>
      <c r="I921" s="6" t="s">
        <v>2412</v>
      </c>
      <c r="J921" s="15" t="s">
        <v>3896</v>
      </c>
      <c r="K921" s="15">
        <v>94777</v>
      </c>
      <c r="L921" s="6" t="s">
        <v>2422</v>
      </c>
      <c r="M921" s="6" t="s">
        <v>3300</v>
      </c>
      <c r="N921" s="6" t="s">
        <v>3373</v>
      </c>
      <c r="O921" s="6" t="s">
        <v>3379</v>
      </c>
      <c r="P921" s="6" t="s">
        <v>3591</v>
      </c>
      <c r="Q921" s="6">
        <v>3091.86</v>
      </c>
      <c r="R921" s="15">
        <v>3</v>
      </c>
      <c r="S921" s="20">
        <v>0.77</v>
      </c>
      <c r="T921" s="15">
        <v>1405.13</v>
      </c>
    </row>
    <row r="922" spans="1:20" x14ac:dyDescent="0.3">
      <c r="A922" s="7" t="s">
        <v>940</v>
      </c>
      <c r="B922" s="13">
        <v>44109.408402777779</v>
      </c>
      <c r="C922" s="13">
        <v>44113.408408408402</v>
      </c>
      <c r="D922" s="8" t="s">
        <v>1021</v>
      </c>
      <c r="E922" s="8" t="s">
        <v>1901</v>
      </c>
      <c r="F922" s="8" t="s">
        <v>2395</v>
      </c>
      <c r="G922" s="8" t="s">
        <v>2407</v>
      </c>
      <c r="H922" s="8" t="s">
        <v>2409</v>
      </c>
      <c r="I922" s="8" t="s">
        <v>2415</v>
      </c>
      <c r="J922" s="16" t="s">
        <v>3894</v>
      </c>
      <c r="K922" s="16">
        <v>44843</v>
      </c>
      <c r="L922" s="8" t="s">
        <v>2420</v>
      </c>
      <c r="M922" s="8" t="s">
        <v>3301</v>
      </c>
      <c r="N922" s="8" t="s">
        <v>3371</v>
      </c>
      <c r="O922" s="8" t="s">
        <v>3382</v>
      </c>
      <c r="P922" s="8" t="s">
        <v>3480</v>
      </c>
      <c r="Q922" s="8">
        <v>4610.08</v>
      </c>
      <c r="R922" s="16">
        <v>3</v>
      </c>
      <c r="S922" s="21">
        <v>0.62</v>
      </c>
      <c r="T922" s="16">
        <v>2042.36</v>
      </c>
    </row>
    <row r="923" spans="1:20" x14ac:dyDescent="0.3">
      <c r="A923" s="5" t="s">
        <v>941</v>
      </c>
      <c r="B923" s="12">
        <v>44110.504502314812</v>
      </c>
      <c r="C923" s="12">
        <v>44113.504504504497</v>
      </c>
      <c r="D923" s="6" t="s">
        <v>1023</v>
      </c>
      <c r="E923" s="6" t="s">
        <v>1902</v>
      </c>
      <c r="F923" s="6" t="s">
        <v>2369</v>
      </c>
      <c r="G923" s="6" t="s">
        <v>2408</v>
      </c>
      <c r="H923" s="6" t="s">
        <v>2409</v>
      </c>
      <c r="I923" s="6" t="s">
        <v>2418</v>
      </c>
      <c r="J923" s="15" t="s">
        <v>3892</v>
      </c>
      <c r="K923" s="15">
        <v>51130</v>
      </c>
      <c r="L923" s="6" t="s">
        <v>2421</v>
      </c>
      <c r="M923" s="6" t="s">
        <v>3302</v>
      </c>
      <c r="N923" s="6" t="s">
        <v>3373</v>
      </c>
      <c r="O923" s="6" t="s">
        <v>3385</v>
      </c>
      <c r="P923" s="6" t="s">
        <v>3711</v>
      </c>
      <c r="Q923" s="6">
        <v>4191.78</v>
      </c>
      <c r="R923" s="15">
        <v>3</v>
      </c>
      <c r="S923" s="20">
        <v>0.01</v>
      </c>
      <c r="T923" s="15">
        <v>1221.4000000000001</v>
      </c>
    </row>
    <row r="924" spans="1:20" x14ac:dyDescent="0.3">
      <c r="A924" s="7" t="s">
        <v>942</v>
      </c>
      <c r="B924" s="13">
        <v>44111.600601851853</v>
      </c>
      <c r="C924" s="13">
        <v>44116.600600600592</v>
      </c>
      <c r="D924" s="8" t="s">
        <v>1022</v>
      </c>
      <c r="E924" s="8" t="s">
        <v>1903</v>
      </c>
      <c r="F924" s="8" t="s">
        <v>2041</v>
      </c>
      <c r="G924" s="8" t="s">
        <v>2407</v>
      </c>
      <c r="H924" s="8" t="s">
        <v>2409</v>
      </c>
      <c r="I924" s="8" t="s">
        <v>2417</v>
      </c>
      <c r="J924" s="16" t="s">
        <v>3892</v>
      </c>
      <c r="K924" s="16">
        <v>67789</v>
      </c>
      <c r="L924" s="8" t="s">
        <v>2421</v>
      </c>
      <c r="M924" s="8" t="s">
        <v>3303</v>
      </c>
      <c r="N924" s="8" t="s">
        <v>3372</v>
      </c>
      <c r="O924" s="8" t="s">
        <v>3376</v>
      </c>
      <c r="P924" s="8" t="s">
        <v>3446</v>
      </c>
      <c r="Q924" s="8">
        <v>3898.29</v>
      </c>
      <c r="R924" s="16">
        <v>13</v>
      </c>
      <c r="S924" s="21">
        <v>0.1</v>
      </c>
      <c r="T924" s="16">
        <v>-635.21</v>
      </c>
    </row>
    <row r="925" spans="1:20" x14ac:dyDescent="0.3">
      <c r="A925" s="5" t="s">
        <v>943</v>
      </c>
      <c r="B925" s="12">
        <v>44112.696701388886</v>
      </c>
      <c r="C925" s="12">
        <v>44113.696696696687</v>
      </c>
      <c r="D925" s="6" t="s">
        <v>1020</v>
      </c>
      <c r="E925" s="6" t="s">
        <v>1904</v>
      </c>
      <c r="F925" s="6" t="s">
        <v>2130</v>
      </c>
      <c r="G925" s="6" t="s">
        <v>2408</v>
      </c>
      <c r="H925" s="6" t="s">
        <v>2409</v>
      </c>
      <c r="I925" s="6" t="s">
        <v>2415</v>
      </c>
      <c r="J925" s="15" t="s">
        <v>3892</v>
      </c>
      <c r="K925" s="15">
        <v>14723</v>
      </c>
      <c r="L925" s="6" t="s">
        <v>2419</v>
      </c>
      <c r="M925" s="6" t="s">
        <v>3304</v>
      </c>
      <c r="N925" s="6" t="s">
        <v>3371</v>
      </c>
      <c r="O925" s="6" t="s">
        <v>3374</v>
      </c>
      <c r="P925" s="6" t="s">
        <v>3681</v>
      </c>
      <c r="Q925" s="6">
        <v>1805.5</v>
      </c>
      <c r="R925" s="15">
        <v>13</v>
      </c>
      <c r="S925" s="20">
        <v>0.4</v>
      </c>
      <c r="T925" s="15">
        <v>1008.88</v>
      </c>
    </row>
    <row r="926" spans="1:20" x14ac:dyDescent="0.3">
      <c r="A926" s="7" t="s">
        <v>944</v>
      </c>
      <c r="B926" s="13">
        <v>44113.79278935185</v>
      </c>
      <c r="C926" s="13">
        <v>44117.792792792789</v>
      </c>
      <c r="D926" s="8" t="s">
        <v>1022</v>
      </c>
      <c r="E926" s="8" t="s">
        <v>1211</v>
      </c>
      <c r="F926" s="8" t="s">
        <v>2230</v>
      </c>
      <c r="G926" s="8" t="s">
        <v>2407</v>
      </c>
      <c r="H926" s="8" t="s">
        <v>2409</v>
      </c>
      <c r="I926" s="8" t="s">
        <v>2415</v>
      </c>
      <c r="J926" s="16" t="s">
        <v>3895</v>
      </c>
      <c r="K926" s="16">
        <v>42705</v>
      </c>
      <c r="L926" s="8" t="s">
        <v>2419</v>
      </c>
      <c r="M926" s="8" t="s">
        <v>3305</v>
      </c>
      <c r="N926" s="8" t="s">
        <v>3371</v>
      </c>
      <c r="O926" s="8" t="s">
        <v>3382</v>
      </c>
      <c r="P926" s="8" t="s">
        <v>3808</v>
      </c>
      <c r="Q926" s="8">
        <v>3900.86</v>
      </c>
      <c r="R926" s="16">
        <v>2</v>
      </c>
      <c r="S926" s="21">
        <v>0.26</v>
      </c>
      <c r="T926" s="16">
        <v>1538.49</v>
      </c>
    </row>
    <row r="927" spans="1:20" x14ac:dyDescent="0.3">
      <c r="A927" s="5" t="s">
        <v>945</v>
      </c>
      <c r="B927" s="12">
        <v>44114.888888888891</v>
      </c>
      <c r="C927" s="12">
        <v>44115.888888888891</v>
      </c>
      <c r="D927" s="6" t="s">
        <v>1023</v>
      </c>
      <c r="E927" s="6" t="s">
        <v>1905</v>
      </c>
      <c r="F927" s="6" t="s">
        <v>2122</v>
      </c>
      <c r="G927" s="6" t="s">
        <v>2407</v>
      </c>
      <c r="H927" s="6" t="s">
        <v>2409</v>
      </c>
      <c r="I927" s="6" t="s">
        <v>2415</v>
      </c>
      <c r="J927" s="15" t="s">
        <v>3895</v>
      </c>
      <c r="K927" s="15">
        <v>38638</v>
      </c>
      <c r="L927" s="6" t="s">
        <v>2419</v>
      </c>
      <c r="M927" s="6" t="s">
        <v>3306</v>
      </c>
      <c r="N927" s="6" t="s">
        <v>3371</v>
      </c>
      <c r="O927" s="6" t="s">
        <v>3375</v>
      </c>
      <c r="P927" s="6" t="s">
        <v>3773</v>
      </c>
      <c r="Q927" s="6">
        <v>1729.01</v>
      </c>
      <c r="R927" s="15">
        <v>8</v>
      </c>
      <c r="S927" s="20">
        <v>0.47</v>
      </c>
      <c r="T927" s="15">
        <v>213.37</v>
      </c>
    </row>
    <row r="928" spans="1:20" x14ac:dyDescent="0.3">
      <c r="A928" s="7" t="s">
        <v>946</v>
      </c>
      <c r="B928" s="13">
        <v>44115.984988425924</v>
      </c>
      <c r="C928" s="13">
        <v>44120.984984984978</v>
      </c>
      <c r="D928" s="8" t="s">
        <v>1022</v>
      </c>
      <c r="E928" s="8" t="s">
        <v>1906</v>
      </c>
      <c r="F928" s="8" t="s">
        <v>2043</v>
      </c>
      <c r="G928" s="8" t="s">
        <v>2406</v>
      </c>
      <c r="H928" s="8" t="s">
        <v>2409</v>
      </c>
      <c r="I928" s="8" t="s">
        <v>2414</v>
      </c>
      <c r="J928" s="16" t="s">
        <v>3892</v>
      </c>
      <c r="K928" s="16">
        <v>94807</v>
      </c>
      <c r="L928" s="8" t="s">
        <v>2420</v>
      </c>
      <c r="M928" s="8" t="s">
        <v>3307</v>
      </c>
      <c r="N928" s="8" t="s">
        <v>3372</v>
      </c>
      <c r="O928" s="8" t="s">
        <v>3384</v>
      </c>
      <c r="P928" s="8" t="s">
        <v>3767</v>
      </c>
      <c r="Q928" s="8">
        <v>2556.56</v>
      </c>
      <c r="R928" s="16">
        <v>10</v>
      </c>
      <c r="S928" s="21">
        <v>0.1</v>
      </c>
      <c r="T928" s="16">
        <v>1049.8800000000001</v>
      </c>
    </row>
    <row r="929" spans="1:20" x14ac:dyDescent="0.3">
      <c r="A929" s="5" t="s">
        <v>947</v>
      </c>
      <c r="B929" s="12">
        <v>44117.081076388888</v>
      </c>
      <c r="C929" s="12">
        <v>44121.08108108108</v>
      </c>
      <c r="D929" s="6" t="s">
        <v>1020</v>
      </c>
      <c r="E929" s="6" t="s">
        <v>1907</v>
      </c>
      <c r="F929" s="6" t="s">
        <v>2010</v>
      </c>
      <c r="G929" s="6" t="s">
        <v>2406</v>
      </c>
      <c r="H929" s="6" t="s">
        <v>2409</v>
      </c>
      <c r="I929" s="6" t="s">
        <v>2414</v>
      </c>
      <c r="J929" s="15" t="s">
        <v>3897</v>
      </c>
      <c r="K929" s="15">
        <v>21674</v>
      </c>
      <c r="L929" s="6" t="s">
        <v>2419</v>
      </c>
      <c r="M929" s="6" t="s">
        <v>3308</v>
      </c>
      <c r="N929" s="6" t="s">
        <v>3371</v>
      </c>
      <c r="O929" s="6" t="s">
        <v>3374</v>
      </c>
      <c r="P929" s="6" t="s">
        <v>3510</v>
      </c>
      <c r="Q929" s="6">
        <v>2708.31</v>
      </c>
      <c r="R929" s="15">
        <v>5</v>
      </c>
      <c r="S929" s="20">
        <v>0.25</v>
      </c>
      <c r="T929" s="15">
        <v>1281.56</v>
      </c>
    </row>
    <row r="930" spans="1:20" x14ac:dyDescent="0.3">
      <c r="A930" s="7" t="s">
        <v>948</v>
      </c>
      <c r="B930" s="13">
        <v>44118.177175925928</v>
      </c>
      <c r="C930" s="13">
        <v>44119.177177177167</v>
      </c>
      <c r="D930" s="8" t="s">
        <v>1022</v>
      </c>
      <c r="E930" s="8" t="s">
        <v>1908</v>
      </c>
      <c r="F930" s="8" t="s">
        <v>2065</v>
      </c>
      <c r="G930" s="8" t="s">
        <v>2407</v>
      </c>
      <c r="H930" s="8" t="s">
        <v>2409</v>
      </c>
      <c r="I930" s="8" t="s">
        <v>2416</v>
      </c>
      <c r="J930" s="16" t="s">
        <v>3893</v>
      </c>
      <c r="K930" s="16">
        <v>79925</v>
      </c>
      <c r="L930" s="8" t="s">
        <v>2421</v>
      </c>
      <c r="M930" s="8" t="s">
        <v>3309</v>
      </c>
      <c r="N930" s="8" t="s">
        <v>3373</v>
      </c>
      <c r="O930" s="8" t="s">
        <v>3379</v>
      </c>
      <c r="P930" s="8" t="s">
        <v>3850</v>
      </c>
      <c r="Q930" s="8">
        <v>3849.29</v>
      </c>
      <c r="R930" s="16">
        <v>4</v>
      </c>
      <c r="S930" s="21">
        <v>0.36</v>
      </c>
      <c r="T930" s="16">
        <v>1138.99</v>
      </c>
    </row>
    <row r="931" spans="1:20" x14ac:dyDescent="0.3">
      <c r="A931" s="5" t="s">
        <v>949</v>
      </c>
      <c r="B931" s="12">
        <v>44119.273275462961</v>
      </c>
      <c r="C931" s="12">
        <v>44121.273273273262</v>
      </c>
      <c r="D931" s="6" t="s">
        <v>1020</v>
      </c>
      <c r="E931" s="6" t="s">
        <v>1909</v>
      </c>
      <c r="F931" s="6" t="s">
        <v>2140</v>
      </c>
      <c r="G931" s="6" t="s">
        <v>2407</v>
      </c>
      <c r="H931" s="6" t="s">
        <v>2409</v>
      </c>
      <c r="I931" s="6" t="s">
        <v>2415</v>
      </c>
      <c r="J931" s="15" t="s">
        <v>3895</v>
      </c>
      <c r="K931" s="15">
        <v>60992</v>
      </c>
      <c r="L931" s="6" t="s">
        <v>2421</v>
      </c>
      <c r="M931" s="6" t="s">
        <v>2532</v>
      </c>
      <c r="N931" s="6" t="s">
        <v>3371</v>
      </c>
      <c r="O931" s="6" t="s">
        <v>3374</v>
      </c>
      <c r="P931" s="6" t="s">
        <v>3470</v>
      </c>
      <c r="Q931" s="6">
        <v>1227.8499999999999</v>
      </c>
      <c r="R931" s="15">
        <v>4</v>
      </c>
      <c r="S931" s="20">
        <v>0.76</v>
      </c>
      <c r="T931" s="15">
        <v>-69.22</v>
      </c>
    </row>
    <row r="932" spans="1:20" x14ac:dyDescent="0.3">
      <c r="A932" s="7" t="s">
        <v>950</v>
      </c>
      <c r="B932" s="13">
        <v>44120.369375000002</v>
      </c>
      <c r="C932" s="13">
        <v>44125.369369369357</v>
      </c>
      <c r="D932" s="8" t="s">
        <v>1020</v>
      </c>
      <c r="E932" s="8" t="s">
        <v>1910</v>
      </c>
      <c r="F932" s="8" t="s">
        <v>2395</v>
      </c>
      <c r="G932" s="8" t="s">
        <v>2406</v>
      </c>
      <c r="H932" s="8" t="s">
        <v>2409</v>
      </c>
      <c r="I932" s="8" t="s">
        <v>2413</v>
      </c>
      <c r="J932" s="16" t="s">
        <v>3895</v>
      </c>
      <c r="K932" s="16">
        <v>98595</v>
      </c>
      <c r="L932" s="8" t="s">
        <v>2422</v>
      </c>
      <c r="M932" s="8" t="s">
        <v>3310</v>
      </c>
      <c r="N932" s="8" t="s">
        <v>3373</v>
      </c>
      <c r="O932" s="8" t="s">
        <v>3385</v>
      </c>
      <c r="P932" s="8" t="s">
        <v>3552</v>
      </c>
      <c r="Q932" s="8">
        <v>1714.39</v>
      </c>
      <c r="R932" s="16">
        <v>12</v>
      </c>
      <c r="S932" s="21">
        <v>0.34</v>
      </c>
      <c r="T932" s="16">
        <v>-220.88</v>
      </c>
    </row>
    <row r="933" spans="1:20" x14ac:dyDescent="0.3">
      <c r="A933" s="5" t="s">
        <v>951</v>
      </c>
      <c r="B933" s="12">
        <v>44121.465462962966</v>
      </c>
      <c r="C933" s="12">
        <v>44126.465465465473</v>
      </c>
      <c r="D933" s="6" t="s">
        <v>1022</v>
      </c>
      <c r="E933" s="6" t="s">
        <v>1911</v>
      </c>
      <c r="F933" s="6" t="s">
        <v>2015</v>
      </c>
      <c r="G933" s="6" t="s">
        <v>2408</v>
      </c>
      <c r="H933" s="6" t="s">
        <v>2409</v>
      </c>
      <c r="I933" s="6" t="s">
        <v>2412</v>
      </c>
      <c r="J933" s="15" t="s">
        <v>3895</v>
      </c>
      <c r="K933" s="15">
        <v>23264</v>
      </c>
      <c r="L933" s="6" t="s">
        <v>2421</v>
      </c>
      <c r="M933" s="6" t="s">
        <v>3311</v>
      </c>
      <c r="N933" s="6" t="s">
        <v>3372</v>
      </c>
      <c r="O933" s="6" t="s">
        <v>3376</v>
      </c>
      <c r="P933" s="6" t="s">
        <v>3499</v>
      </c>
      <c r="Q933" s="6">
        <v>2573.7800000000002</v>
      </c>
      <c r="R933" s="15">
        <v>14</v>
      </c>
      <c r="S933" s="20">
        <v>0.56000000000000005</v>
      </c>
      <c r="T933" s="15">
        <v>-337.6</v>
      </c>
    </row>
    <row r="934" spans="1:20" x14ac:dyDescent="0.3">
      <c r="A934" s="7" t="s">
        <v>952</v>
      </c>
      <c r="B934" s="13">
        <v>44122.561562499999</v>
      </c>
      <c r="C934" s="13">
        <v>44126.561561561553</v>
      </c>
      <c r="D934" s="8" t="s">
        <v>1020</v>
      </c>
      <c r="E934" s="8" t="s">
        <v>1912</v>
      </c>
      <c r="F934" s="8" t="s">
        <v>1980</v>
      </c>
      <c r="G934" s="8" t="s">
        <v>2406</v>
      </c>
      <c r="H934" s="8" t="s">
        <v>2409</v>
      </c>
      <c r="I934" s="8" t="s">
        <v>2418</v>
      </c>
      <c r="J934" s="16" t="s">
        <v>3893</v>
      </c>
      <c r="K934" s="16">
        <v>62287</v>
      </c>
      <c r="L934" s="8" t="s">
        <v>2422</v>
      </c>
      <c r="M934" s="8" t="s">
        <v>3312</v>
      </c>
      <c r="N934" s="8" t="s">
        <v>3372</v>
      </c>
      <c r="O934" s="8" t="s">
        <v>3377</v>
      </c>
      <c r="P934" s="8" t="s">
        <v>3540</v>
      </c>
      <c r="Q934" s="8">
        <v>632.72</v>
      </c>
      <c r="R934" s="16">
        <v>2</v>
      </c>
      <c r="S934" s="21">
        <v>0.26</v>
      </c>
      <c r="T934" s="16">
        <v>-98.84</v>
      </c>
    </row>
    <row r="935" spans="1:20" x14ac:dyDescent="0.3">
      <c r="A935" s="5" t="s">
        <v>953</v>
      </c>
      <c r="B935" s="12">
        <v>44123.65766203704</v>
      </c>
      <c r="C935" s="12">
        <v>44126.657657657648</v>
      </c>
      <c r="D935" s="6" t="s">
        <v>1023</v>
      </c>
      <c r="E935" s="6" t="s">
        <v>1913</v>
      </c>
      <c r="F935" s="6" t="s">
        <v>2179</v>
      </c>
      <c r="G935" s="6" t="s">
        <v>2407</v>
      </c>
      <c r="H935" s="6" t="s">
        <v>2409</v>
      </c>
      <c r="I935" s="6" t="s">
        <v>2415</v>
      </c>
      <c r="J935" s="15" t="s">
        <v>2410</v>
      </c>
      <c r="K935" s="15">
        <v>40117</v>
      </c>
      <c r="L935" s="6" t="s">
        <v>2421</v>
      </c>
      <c r="M935" s="6" t="s">
        <v>2524</v>
      </c>
      <c r="N935" s="6" t="s">
        <v>3372</v>
      </c>
      <c r="O935" s="6" t="s">
        <v>3376</v>
      </c>
      <c r="P935" s="6" t="s">
        <v>3795</v>
      </c>
      <c r="Q935" s="6">
        <v>4032.69</v>
      </c>
      <c r="R935" s="15">
        <v>9</v>
      </c>
      <c r="S935" s="20">
        <v>0.1</v>
      </c>
      <c r="T935" s="15">
        <v>2400.6999999999998</v>
      </c>
    </row>
    <row r="936" spans="1:20" x14ac:dyDescent="0.3">
      <c r="A936" s="7" t="s">
        <v>954</v>
      </c>
      <c r="B936" s="13">
        <v>44124.753750000003</v>
      </c>
      <c r="C936" s="13">
        <v>44125.75375375375</v>
      </c>
      <c r="D936" s="8" t="s">
        <v>1020</v>
      </c>
      <c r="E936" s="8" t="s">
        <v>1914</v>
      </c>
      <c r="F936" s="8" t="s">
        <v>2067</v>
      </c>
      <c r="G936" s="8" t="s">
        <v>2406</v>
      </c>
      <c r="H936" s="8" t="s">
        <v>2409</v>
      </c>
      <c r="I936" s="8" t="s">
        <v>2418</v>
      </c>
      <c r="J936" s="16" t="s">
        <v>3891</v>
      </c>
      <c r="K936" s="16">
        <v>49799</v>
      </c>
      <c r="L936" s="8" t="s">
        <v>2421</v>
      </c>
      <c r="M936" s="8" t="s">
        <v>3313</v>
      </c>
      <c r="N936" s="8" t="s">
        <v>3373</v>
      </c>
      <c r="O936" s="8" t="s">
        <v>3379</v>
      </c>
      <c r="P936" s="8" t="s">
        <v>3745</v>
      </c>
      <c r="Q936" s="8">
        <v>386.82</v>
      </c>
      <c r="R936" s="16">
        <v>1</v>
      </c>
      <c r="S936" s="21">
        <v>0.39</v>
      </c>
      <c r="T936" s="16">
        <v>102.31</v>
      </c>
    </row>
    <row r="937" spans="1:20" x14ac:dyDescent="0.3">
      <c r="A937" s="5" t="s">
        <v>955</v>
      </c>
      <c r="B937" s="12">
        <v>44125.849849537037</v>
      </c>
      <c r="C937" s="12">
        <v>44127.849849849852</v>
      </c>
      <c r="D937" s="6" t="s">
        <v>1022</v>
      </c>
      <c r="E937" s="6" t="s">
        <v>1177</v>
      </c>
      <c r="F937" s="6" t="s">
        <v>2019</v>
      </c>
      <c r="G937" s="6" t="s">
        <v>2408</v>
      </c>
      <c r="H937" s="6" t="s">
        <v>2409</v>
      </c>
      <c r="I937" s="6" t="s">
        <v>2412</v>
      </c>
      <c r="J937" s="15" t="s">
        <v>3893</v>
      </c>
      <c r="K937" s="15">
        <v>88692</v>
      </c>
      <c r="L937" s="6" t="s">
        <v>2420</v>
      </c>
      <c r="M937" s="6" t="s">
        <v>3314</v>
      </c>
      <c r="N937" s="6" t="s">
        <v>3371</v>
      </c>
      <c r="O937" s="6" t="s">
        <v>3383</v>
      </c>
      <c r="P937" s="6" t="s">
        <v>3851</v>
      </c>
      <c r="Q937" s="6">
        <v>3724.45</v>
      </c>
      <c r="R937" s="15">
        <v>6</v>
      </c>
      <c r="S937" s="20">
        <v>0.81</v>
      </c>
      <c r="T937" s="15">
        <v>321.82</v>
      </c>
    </row>
    <row r="938" spans="1:20" x14ac:dyDescent="0.3">
      <c r="A938" s="7" t="s">
        <v>956</v>
      </c>
      <c r="B938" s="13">
        <v>44126.945949074077</v>
      </c>
      <c r="C938" s="13">
        <v>44127.945945945939</v>
      </c>
      <c r="D938" s="8" t="s">
        <v>1021</v>
      </c>
      <c r="E938" s="8" t="s">
        <v>1506</v>
      </c>
      <c r="F938" s="8" t="s">
        <v>2035</v>
      </c>
      <c r="G938" s="8" t="s">
        <v>2407</v>
      </c>
      <c r="H938" s="8" t="s">
        <v>2409</v>
      </c>
      <c r="I938" s="8" t="s">
        <v>2414</v>
      </c>
      <c r="J938" s="16" t="s">
        <v>3896</v>
      </c>
      <c r="K938" s="16">
        <v>28244</v>
      </c>
      <c r="L938" s="8" t="s">
        <v>2422</v>
      </c>
      <c r="M938" s="8" t="s">
        <v>3315</v>
      </c>
      <c r="N938" s="8" t="s">
        <v>3373</v>
      </c>
      <c r="O938" s="8" t="s">
        <v>3379</v>
      </c>
      <c r="P938" s="8" t="s">
        <v>3495</v>
      </c>
      <c r="Q938" s="8">
        <v>3349.94</v>
      </c>
      <c r="R938" s="16">
        <v>8</v>
      </c>
      <c r="S938" s="21">
        <v>0.11</v>
      </c>
      <c r="T938" s="16">
        <v>-134.47</v>
      </c>
    </row>
    <row r="939" spans="1:20" x14ac:dyDescent="0.3">
      <c r="A939" s="5" t="s">
        <v>957</v>
      </c>
      <c r="B939" s="12">
        <v>44128.042037037034</v>
      </c>
      <c r="C939" s="12">
        <v>44134.042042042027</v>
      </c>
      <c r="D939" s="6" t="s">
        <v>1020</v>
      </c>
      <c r="E939" s="6" t="s">
        <v>1915</v>
      </c>
      <c r="F939" s="6" t="s">
        <v>2130</v>
      </c>
      <c r="G939" s="6" t="s">
        <v>2408</v>
      </c>
      <c r="H939" s="6" t="s">
        <v>2409</v>
      </c>
      <c r="I939" s="6" t="s">
        <v>2414</v>
      </c>
      <c r="J939" s="15" t="s">
        <v>3896</v>
      </c>
      <c r="K939" s="15">
        <v>76842</v>
      </c>
      <c r="L939" s="6" t="s">
        <v>2421</v>
      </c>
      <c r="M939" s="6" t="s">
        <v>3316</v>
      </c>
      <c r="N939" s="6" t="s">
        <v>3371</v>
      </c>
      <c r="O939" s="6" t="s">
        <v>3375</v>
      </c>
      <c r="P939" s="6" t="s">
        <v>3574</v>
      </c>
      <c r="Q939" s="6">
        <v>2669.31</v>
      </c>
      <c r="R939" s="15">
        <v>6</v>
      </c>
      <c r="S939" s="20">
        <v>0.37</v>
      </c>
      <c r="T939" s="15">
        <v>737.55</v>
      </c>
    </row>
    <row r="940" spans="1:20" x14ac:dyDescent="0.3">
      <c r="A940" s="7" t="s">
        <v>958</v>
      </c>
      <c r="B940" s="13">
        <v>44129.138136574074</v>
      </c>
      <c r="C940" s="13">
        <v>44133.138138138143</v>
      </c>
      <c r="D940" s="8" t="s">
        <v>1021</v>
      </c>
      <c r="E940" s="8" t="s">
        <v>1916</v>
      </c>
      <c r="F940" s="8" t="s">
        <v>2256</v>
      </c>
      <c r="G940" s="8" t="s">
        <v>2407</v>
      </c>
      <c r="H940" s="8" t="s">
        <v>2409</v>
      </c>
      <c r="I940" s="8" t="s">
        <v>2418</v>
      </c>
      <c r="J940" s="16" t="s">
        <v>2410</v>
      </c>
      <c r="K940" s="16">
        <v>45306</v>
      </c>
      <c r="L940" s="8" t="s">
        <v>2420</v>
      </c>
      <c r="M940" s="8" t="s">
        <v>3317</v>
      </c>
      <c r="N940" s="8" t="s">
        <v>3371</v>
      </c>
      <c r="O940" s="8" t="s">
        <v>3375</v>
      </c>
      <c r="P940" s="8" t="s">
        <v>3410</v>
      </c>
      <c r="Q940" s="8">
        <v>3458.48</v>
      </c>
      <c r="R940" s="16">
        <v>2</v>
      </c>
      <c r="S940" s="21">
        <v>0.62</v>
      </c>
      <c r="T940" s="16">
        <v>-162.82</v>
      </c>
    </row>
    <row r="941" spans="1:20" x14ac:dyDescent="0.3">
      <c r="A941" s="5" t="s">
        <v>959</v>
      </c>
      <c r="B941" s="12">
        <v>44130.234236111108</v>
      </c>
      <c r="C941" s="12">
        <v>44133.234234234224</v>
      </c>
      <c r="D941" s="6" t="s">
        <v>1023</v>
      </c>
      <c r="E941" s="6" t="s">
        <v>1917</v>
      </c>
      <c r="F941" s="6" t="s">
        <v>2143</v>
      </c>
      <c r="G941" s="6" t="s">
        <v>2408</v>
      </c>
      <c r="H941" s="6" t="s">
        <v>2409</v>
      </c>
      <c r="I941" s="6" t="s">
        <v>2413</v>
      </c>
      <c r="J941" s="15" t="s">
        <v>3892</v>
      </c>
      <c r="K941" s="15">
        <v>69207</v>
      </c>
      <c r="L941" s="6" t="s">
        <v>2420</v>
      </c>
      <c r="M941" s="6" t="s">
        <v>3318</v>
      </c>
      <c r="N941" s="6" t="s">
        <v>3373</v>
      </c>
      <c r="O941" s="6" t="s">
        <v>3380</v>
      </c>
      <c r="P941" s="6" t="s">
        <v>3852</v>
      </c>
      <c r="Q941" s="6">
        <v>1411.79</v>
      </c>
      <c r="R941" s="15">
        <v>8</v>
      </c>
      <c r="S941" s="20">
        <v>0.59</v>
      </c>
      <c r="T941" s="15">
        <v>-233.13</v>
      </c>
    </row>
    <row r="942" spans="1:20" x14ac:dyDescent="0.3">
      <c r="A942" s="7" t="s">
        <v>960</v>
      </c>
      <c r="B942" s="13">
        <v>44131.330335648148</v>
      </c>
      <c r="C942" s="13">
        <v>44137.330330330333</v>
      </c>
      <c r="D942" s="8" t="s">
        <v>1021</v>
      </c>
      <c r="E942" s="8" t="s">
        <v>1314</v>
      </c>
      <c r="F942" s="8" t="s">
        <v>2179</v>
      </c>
      <c r="G942" s="8" t="s">
        <v>2408</v>
      </c>
      <c r="H942" s="8" t="s">
        <v>2409</v>
      </c>
      <c r="I942" s="8" t="s">
        <v>2414</v>
      </c>
      <c r="J942" s="16" t="s">
        <v>3893</v>
      </c>
      <c r="K942" s="16">
        <v>21913</v>
      </c>
      <c r="L942" s="8" t="s">
        <v>2421</v>
      </c>
      <c r="M942" s="8" t="s">
        <v>3319</v>
      </c>
      <c r="N942" s="8" t="s">
        <v>3371</v>
      </c>
      <c r="O942" s="8" t="s">
        <v>3375</v>
      </c>
      <c r="P942" s="8" t="s">
        <v>3853</v>
      </c>
      <c r="Q942" s="8">
        <v>563.73</v>
      </c>
      <c r="R942" s="16">
        <v>3</v>
      </c>
      <c r="S942" s="21">
        <v>0.16</v>
      </c>
      <c r="T942" s="16">
        <v>258.19</v>
      </c>
    </row>
    <row r="943" spans="1:20" x14ac:dyDescent="0.3">
      <c r="A943" s="5" t="s">
        <v>961</v>
      </c>
      <c r="B943" s="12">
        <v>44132.426423611112</v>
      </c>
      <c r="C943" s="12">
        <v>44136.42642642642</v>
      </c>
      <c r="D943" s="6" t="s">
        <v>1023</v>
      </c>
      <c r="E943" s="6" t="s">
        <v>1918</v>
      </c>
      <c r="F943" s="6" t="s">
        <v>2348</v>
      </c>
      <c r="G943" s="6" t="s">
        <v>2406</v>
      </c>
      <c r="H943" s="6" t="s">
        <v>2409</v>
      </c>
      <c r="I943" s="6" t="s">
        <v>2416</v>
      </c>
      <c r="J943" s="15" t="s">
        <v>3892</v>
      </c>
      <c r="K943" s="15">
        <v>59385</v>
      </c>
      <c r="L943" s="6" t="s">
        <v>2422</v>
      </c>
      <c r="M943" s="6" t="s">
        <v>3320</v>
      </c>
      <c r="N943" s="6" t="s">
        <v>3372</v>
      </c>
      <c r="O943" s="6" t="s">
        <v>3377</v>
      </c>
      <c r="P943" s="6" t="s">
        <v>3854</v>
      </c>
      <c r="Q943" s="6">
        <v>3760.5</v>
      </c>
      <c r="R943" s="15">
        <v>6</v>
      </c>
      <c r="S943" s="20">
        <v>0.45</v>
      </c>
      <c r="T943" s="15">
        <v>1759.15</v>
      </c>
    </row>
    <row r="944" spans="1:20" x14ac:dyDescent="0.3">
      <c r="A944" s="7" t="s">
        <v>962</v>
      </c>
      <c r="B944" s="13">
        <v>44133.522523148145</v>
      </c>
      <c r="C944" s="13">
        <v>44138.522522522508</v>
      </c>
      <c r="D944" s="8" t="s">
        <v>1023</v>
      </c>
      <c r="E944" s="8" t="s">
        <v>1919</v>
      </c>
      <c r="F944" s="8" t="s">
        <v>2302</v>
      </c>
      <c r="G944" s="8" t="s">
        <v>2408</v>
      </c>
      <c r="H944" s="8" t="s">
        <v>2409</v>
      </c>
      <c r="I944" s="8" t="s">
        <v>2412</v>
      </c>
      <c r="J944" s="16" t="s">
        <v>3895</v>
      </c>
      <c r="K944" s="16">
        <v>86702</v>
      </c>
      <c r="L944" s="8" t="s">
        <v>2420</v>
      </c>
      <c r="M944" s="8" t="s">
        <v>3321</v>
      </c>
      <c r="N944" s="8" t="s">
        <v>3371</v>
      </c>
      <c r="O944" s="8" t="s">
        <v>3383</v>
      </c>
      <c r="P944" s="8" t="s">
        <v>3855</v>
      </c>
      <c r="Q944" s="8">
        <v>2896.38</v>
      </c>
      <c r="R944" s="16">
        <v>9</v>
      </c>
      <c r="S944" s="21">
        <v>0.51</v>
      </c>
      <c r="T944" s="16">
        <v>-436.83</v>
      </c>
    </row>
    <row r="945" spans="1:20" x14ac:dyDescent="0.3">
      <c r="A945" s="5" t="s">
        <v>963</v>
      </c>
      <c r="B945" s="12">
        <v>44134.618622685186</v>
      </c>
      <c r="C945" s="12">
        <v>44136.61861861861</v>
      </c>
      <c r="D945" s="6" t="s">
        <v>1021</v>
      </c>
      <c r="E945" s="6" t="s">
        <v>1920</v>
      </c>
      <c r="F945" s="6" t="s">
        <v>2273</v>
      </c>
      <c r="G945" s="6" t="s">
        <v>2407</v>
      </c>
      <c r="H945" s="6" t="s">
        <v>2409</v>
      </c>
      <c r="I945" s="6" t="s">
        <v>2410</v>
      </c>
      <c r="J945" s="15" t="s">
        <v>3891</v>
      </c>
      <c r="K945" s="15">
        <v>93472</v>
      </c>
      <c r="L945" s="6" t="s">
        <v>2420</v>
      </c>
      <c r="M945" s="6" t="s">
        <v>2728</v>
      </c>
      <c r="N945" s="6" t="s">
        <v>3372</v>
      </c>
      <c r="O945" s="6" t="s">
        <v>3384</v>
      </c>
      <c r="P945" s="6" t="s">
        <v>3431</v>
      </c>
      <c r="Q945" s="6">
        <v>2568.54</v>
      </c>
      <c r="R945" s="15">
        <v>11</v>
      </c>
      <c r="S945" s="20">
        <v>0.37</v>
      </c>
      <c r="T945" s="15">
        <v>98.38</v>
      </c>
    </row>
    <row r="946" spans="1:20" x14ac:dyDescent="0.3">
      <c r="A946" s="7" t="s">
        <v>964</v>
      </c>
      <c r="B946" s="13">
        <v>44135.71471064815</v>
      </c>
      <c r="C946" s="13">
        <v>44140.714714714712</v>
      </c>
      <c r="D946" s="8" t="s">
        <v>1022</v>
      </c>
      <c r="E946" s="8" t="s">
        <v>1921</v>
      </c>
      <c r="F946" s="8" t="s">
        <v>1986</v>
      </c>
      <c r="G946" s="8" t="s">
        <v>2406</v>
      </c>
      <c r="H946" s="8" t="s">
        <v>2409</v>
      </c>
      <c r="I946" s="8" t="s">
        <v>2418</v>
      </c>
      <c r="J946" s="16" t="s">
        <v>3896</v>
      </c>
      <c r="K946" s="16">
        <v>46833</v>
      </c>
      <c r="L946" s="8" t="s">
        <v>2422</v>
      </c>
      <c r="M946" s="8" t="s">
        <v>3322</v>
      </c>
      <c r="N946" s="8" t="s">
        <v>3371</v>
      </c>
      <c r="O946" s="8" t="s">
        <v>3374</v>
      </c>
      <c r="P946" s="8" t="s">
        <v>3442</v>
      </c>
      <c r="Q946" s="8">
        <v>3512.98</v>
      </c>
      <c r="R946" s="16">
        <v>8</v>
      </c>
      <c r="S946" s="21">
        <v>0.18</v>
      </c>
      <c r="T946" s="16">
        <v>1837.44</v>
      </c>
    </row>
    <row r="947" spans="1:20" x14ac:dyDescent="0.3">
      <c r="A947" s="5" t="s">
        <v>965</v>
      </c>
      <c r="B947" s="12">
        <v>44136.810810185183</v>
      </c>
      <c r="C947" s="12">
        <v>44137.810810810814</v>
      </c>
      <c r="D947" s="6" t="s">
        <v>1021</v>
      </c>
      <c r="E947" s="6" t="s">
        <v>1922</v>
      </c>
      <c r="F947" s="6" t="s">
        <v>2085</v>
      </c>
      <c r="G947" s="6" t="s">
        <v>2407</v>
      </c>
      <c r="H947" s="6" t="s">
        <v>2409</v>
      </c>
      <c r="I947" s="6" t="s">
        <v>2412</v>
      </c>
      <c r="J947" s="15" t="s">
        <v>3896</v>
      </c>
      <c r="K947" s="15">
        <v>94325</v>
      </c>
      <c r="L947" s="6" t="s">
        <v>2419</v>
      </c>
      <c r="M947" s="6" t="s">
        <v>3323</v>
      </c>
      <c r="N947" s="6" t="s">
        <v>3373</v>
      </c>
      <c r="O947" s="6" t="s">
        <v>3381</v>
      </c>
      <c r="P947" s="6" t="s">
        <v>3609</v>
      </c>
      <c r="Q947" s="6">
        <v>4681.43</v>
      </c>
      <c r="R947" s="15">
        <v>7</v>
      </c>
      <c r="S947" s="20">
        <v>0.88</v>
      </c>
      <c r="T947" s="15">
        <v>2574.5100000000002</v>
      </c>
    </row>
    <row r="948" spans="1:20" x14ac:dyDescent="0.3">
      <c r="A948" s="7" t="s">
        <v>966</v>
      </c>
      <c r="B948" s="13">
        <v>44137.906909722224</v>
      </c>
      <c r="C948" s="13">
        <v>44141.906906906901</v>
      </c>
      <c r="D948" s="8" t="s">
        <v>1023</v>
      </c>
      <c r="E948" s="8" t="s">
        <v>1923</v>
      </c>
      <c r="F948" s="8" t="s">
        <v>2204</v>
      </c>
      <c r="G948" s="8" t="s">
        <v>2406</v>
      </c>
      <c r="H948" s="8" t="s">
        <v>2409</v>
      </c>
      <c r="I948" s="8" t="s">
        <v>2416</v>
      </c>
      <c r="J948" s="16" t="s">
        <v>3891</v>
      </c>
      <c r="K948" s="16">
        <v>76668</v>
      </c>
      <c r="L948" s="8" t="s">
        <v>2420</v>
      </c>
      <c r="M948" s="8" t="s">
        <v>3324</v>
      </c>
      <c r="N948" s="8" t="s">
        <v>3373</v>
      </c>
      <c r="O948" s="8" t="s">
        <v>3385</v>
      </c>
      <c r="P948" s="8" t="s">
        <v>3856</v>
      </c>
      <c r="Q948" s="8">
        <v>1347.67</v>
      </c>
      <c r="R948" s="16">
        <v>10</v>
      </c>
      <c r="S948" s="21">
        <v>0.9</v>
      </c>
      <c r="T948" s="16">
        <v>687.04</v>
      </c>
    </row>
    <row r="949" spans="1:20" x14ac:dyDescent="0.3">
      <c r="A949" s="5" t="s">
        <v>967</v>
      </c>
      <c r="B949" s="12">
        <v>44139.002997685187</v>
      </c>
      <c r="C949" s="12">
        <v>44143.003003003003</v>
      </c>
      <c r="D949" s="6" t="s">
        <v>1023</v>
      </c>
      <c r="E949" s="6" t="s">
        <v>1386</v>
      </c>
      <c r="F949" s="6" t="s">
        <v>2361</v>
      </c>
      <c r="G949" s="6" t="s">
        <v>2408</v>
      </c>
      <c r="H949" s="6" t="s">
        <v>2409</v>
      </c>
      <c r="I949" s="6" t="s">
        <v>2412</v>
      </c>
      <c r="J949" s="15" t="s">
        <v>3896</v>
      </c>
      <c r="K949" s="15">
        <v>27698</v>
      </c>
      <c r="L949" s="6" t="s">
        <v>2419</v>
      </c>
      <c r="M949" s="6" t="s">
        <v>3325</v>
      </c>
      <c r="N949" s="6" t="s">
        <v>3372</v>
      </c>
      <c r="O949" s="6" t="s">
        <v>3376</v>
      </c>
      <c r="P949" s="6" t="s">
        <v>3732</v>
      </c>
      <c r="Q949" s="6">
        <v>4775.09</v>
      </c>
      <c r="R949" s="15">
        <v>13</v>
      </c>
      <c r="S949" s="20">
        <v>0.28999999999999998</v>
      </c>
      <c r="T949" s="15">
        <v>1097.57</v>
      </c>
    </row>
    <row r="950" spans="1:20" x14ac:dyDescent="0.3">
      <c r="A950" s="7" t="s">
        <v>968</v>
      </c>
      <c r="B950" s="13">
        <v>44140.099097222221</v>
      </c>
      <c r="C950" s="13">
        <v>44146.099099099098</v>
      </c>
      <c r="D950" s="8" t="s">
        <v>1022</v>
      </c>
      <c r="E950" s="8" t="s">
        <v>1924</v>
      </c>
      <c r="F950" s="8" t="s">
        <v>2396</v>
      </c>
      <c r="G950" s="8" t="s">
        <v>2407</v>
      </c>
      <c r="H950" s="8" t="s">
        <v>2409</v>
      </c>
      <c r="I950" s="8" t="s">
        <v>2417</v>
      </c>
      <c r="J950" s="16" t="s">
        <v>3893</v>
      </c>
      <c r="K950" s="16">
        <v>80630</v>
      </c>
      <c r="L950" s="8" t="s">
        <v>2419</v>
      </c>
      <c r="M950" s="8" t="s">
        <v>3326</v>
      </c>
      <c r="N950" s="8" t="s">
        <v>3372</v>
      </c>
      <c r="O950" s="8" t="s">
        <v>3384</v>
      </c>
      <c r="P950" s="8" t="s">
        <v>3857</v>
      </c>
      <c r="Q950" s="8">
        <v>3754.98</v>
      </c>
      <c r="R950" s="16">
        <v>10</v>
      </c>
      <c r="S950" s="21">
        <v>0.03</v>
      </c>
      <c r="T950" s="16">
        <v>2243.6799999999998</v>
      </c>
    </row>
    <row r="951" spans="1:20" x14ac:dyDescent="0.3">
      <c r="A951" s="5" t="s">
        <v>969</v>
      </c>
      <c r="B951" s="12">
        <v>44141.195196759261</v>
      </c>
      <c r="C951" s="12">
        <v>44142.195195195192</v>
      </c>
      <c r="D951" s="6" t="s">
        <v>1023</v>
      </c>
      <c r="E951" s="6" t="s">
        <v>1925</v>
      </c>
      <c r="F951" s="6" t="s">
        <v>2305</v>
      </c>
      <c r="G951" s="6" t="s">
        <v>2406</v>
      </c>
      <c r="H951" s="6" t="s">
        <v>2409</v>
      </c>
      <c r="I951" s="6" t="s">
        <v>2416</v>
      </c>
      <c r="J951" s="15" t="s">
        <v>3896</v>
      </c>
      <c r="K951" s="15">
        <v>41421</v>
      </c>
      <c r="L951" s="6" t="s">
        <v>2422</v>
      </c>
      <c r="M951" s="6" t="s">
        <v>3327</v>
      </c>
      <c r="N951" s="6" t="s">
        <v>3371</v>
      </c>
      <c r="O951" s="6" t="s">
        <v>3382</v>
      </c>
      <c r="P951" s="6" t="s">
        <v>3483</v>
      </c>
      <c r="Q951" s="6">
        <v>1022.27</v>
      </c>
      <c r="R951" s="15">
        <v>7</v>
      </c>
      <c r="S951" s="20">
        <v>0.5</v>
      </c>
      <c r="T951" s="15">
        <v>106.22</v>
      </c>
    </row>
    <row r="952" spans="1:20" x14ac:dyDescent="0.3">
      <c r="A952" s="7" t="s">
        <v>970</v>
      </c>
      <c r="B952" s="13">
        <v>44142.291296296295</v>
      </c>
      <c r="C952" s="13">
        <v>44144.291291291287</v>
      </c>
      <c r="D952" s="8" t="s">
        <v>1022</v>
      </c>
      <c r="E952" s="8" t="s">
        <v>1926</v>
      </c>
      <c r="F952" s="8" t="s">
        <v>2033</v>
      </c>
      <c r="G952" s="8" t="s">
        <v>2408</v>
      </c>
      <c r="H952" s="8" t="s">
        <v>2409</v>
      </c>
      <c r="I952" s="8" t="s">
        <v>2412</v>
      </c>
      <c r="J952" s="16" t="s">
        <v>3895</v>
      </c>
      <c r="K952" s="16">
        <v>27295</v>
      </c>
      <c r="L952" s="8" t="s">
        <v>2421</v>
      </c>
      <c r="M952" s="8" t="s">
        <v>2551</v>
      </c>
      <c r="N952" s="8" t="s">
        <v>3373</v>
      </c>
      <c r="O952" s="8" t="s">
        <v>3379</v>
      </c>
      <c r="P952" s="8" t="s">
        <v>3621</v>
      </c>
      <c r="Q952" s="8">
        <v>891.38</v>
      </c>
      <c r="R952" s="16">
        <v>5</v>
      </c>
      <c r="S952" s="21">
        <v>0.24</v>
      </c>
      <c r="T952" s="16">
        <v>-159.54</v>
      </c>
    </row>
    <row r="953" spans="1:20" x14ac:dyDescent="0.3">
      <c r="A953" s="5" t="s">
        <v>971</v>
      </c>
      <c r="B953" s="12">
        <v>44143.387384259258</v>
      </c>
      <c r="C953" s="12">
        <v>44145.387387387382</v>
      </c>
      <c r="D953" s="6" t="s">
        <v>1020</v>
      </c>
      <c r="E953" s="6" t="s">
        <v>1927</v>
      </c>
      <c r="F953" s="6" t="s">
        <v>2368</v>
      </c>
      <c r="G953" s="6" t="s">
        <v>2408</v>
      </c>
      <c r="H953" s="6" t="s">
        <v>2409</v>
      </c>
      <c r="I953" s="6" t="s">
        <v>2415</v>
      </c>
      <c r="J953" s="15" t="s">
        <v>3892</v>
      </c>
      <c r="K953" s="15">
        <v>77576</v>
      </c>
      <c r="L953" s="6" t="s">
        <v>2421</v>
      </c>
      <c r="M953" s="6" t="s">
        <v>3328</v>
      </c>
      <c r="N953" s="6" t="s">
        <v>3373</v>
      </c>
      <c r="O953" s="6" t="s">
        <v>3385</v>
      </c>
      <c r="P953" s="6" t="s">
        <v>3858</v>
      </c>
      <c r="Q953" s="6">
        <v>3001.37</v>
      </c>
      <c r="R953" s="15">
        <v>5</v>
      </c>
      <c r="S953" s="20">
        <v>0.41</v>
      </c>
      <c r="T953" s="15">
        <v>702.08</v>
      </c>
    </row>
    <row r="954" spans="1:20" x14ac:dyDescent="0.3">
      <c r="A954" s="7" t="s">
        <v>972</v>
      </c>
      <c r="B954" s="13">
        <v>44144.483483796299</v>
      </c>
      <c r="C954" s="13">
        <v>44149.483483483469</v>
      </c>
      <c r="D954" s="8" t="s">
        <v>1021</v>
      </c>
      <c r="E954" s="8" t="s">
        <v>1928</v>
      </c>
      <c r="F954" s="8" t="s">
        <v>1975</v>
      </c>
      <c r="G954" s="8" t="s">
        <v>2406</v>
      </c>
      <c r="H954" s="8" t="s">
        <v>2409</v>
      </c>
      <c r="I954" s="8" t="s">
        <v>2415</v>
      </c>
      <c r="J954" s="16" t="s">
        <v>3893</v>
      </c>
      <c r="K954" s="16">
        <v>69707</v>
      </c>
      <c r="L954" s="8" t="s">
        <v>2422</v>
      </c>
      <c r="M954" s="8" t="s">
        <v>3329</v>
      </c>
      <c r="N954" s="8" t="s">
        <v>3372</v>
      </c>
      <c r="O954" s="8" t="s">
        <v>3376</v>
      </c>
      <c r="P954" s="8" t="s">
        <v>3859</v>
      </c>
      <c r="Q954" s="8">
        <v>970</v>
      </c>
      <c r="R954" s="16">
        <v>5</v>
      </c>
      <c r="S954" s="21">
        <v>0.13</v>
      </c>
      <c r="T954" s="16">
        <v>571.91</v>
      </c>
    </row>
    <row r="955" spans="1:20" x14ac:dyDescent="0.3">
      <c r="A955" s="5" t="s">
        <v>973</v>
      </c>
      <c r="B955" s="12">
        <v>44145.579583333332</v>
      </c>
      <c r="C955" s="12">
        <v>44146.579579579571</v>
      </c>
      <c r="D955" s="6" t="s">
        <v>1022</v>
      </c>
      <c r="E955" s="6" t="s">
        <v>1929</v>
      </c>
      <c r="F955" s="6" t="s">
        <v>2308</v>
      </c>
      <c r="G955" s="6" t="s">
        <v>2406</v>
      </c>
      <c r="H955" s="6" t="s">
        <v>2409</v>
      </c>
      <c r="I955" s="6" t="s">
        <v>2416</v>
      </c>
      <c r="J955" s="15" t="s">
        <v>3893</v>
      </c>
      <c r="K955" s="15">
        <v>86620</v>
      </c>
      <c r="L955" s="6" t="s">
        <v>2421</v>
      </c>
      <c r="M955" s="6" t="s">
        <v>3330</v>
      </c>
      <c r="N955" s="6" t="s">
        <v>3372</v>
      </c>
      <c r="O955" s="6" t="s">
        <v>3378</v>
      </c>
      <c r="P955" s="6" t="s">
        <v>3742</v>
      </c>
      <c r="Q955" s="6">
        <v>1126.82</v>
      </c>
      <c r="R955" s="15">
        <v>2</v>
      </c>
      <c r="S955" s="20">
        <v>0.76</v>
      </c>
      <c r="T955" s="15">
        <v>407.95</v>
      </c>
    </row>
    <row r="956" spans="1:20" x14ac:dyDescent="0.3">
      <c r="A956" s="7" t="s">
        <v>974</v>
      </c>
      <c r="B956" s="13">
        <v>44146.675671296296</v>
      </c>
      <c r="C956" s="13">
        <v>44148.675675675673</v>
      </c>
      <c r="D956" s="8" t="s">
        <v>1023</v>
      </c>
      <c r="E956" s="8" t="s">
        <v>1930</v>
      </c>
      <c r="F956" s="8" t="s">
        <v>2397</v>
      </c>
      <c r="G956" s="8" t="s">
        <v>2407</v>
      </c>
      <c r="H956" s="8" t="s">
        <v>2409</v>
      </c>
      <c r="I956" s="8" t="s">
        <v>2415</v>
      </c>
      <c r="J956" s="16" t="s">
        <v>3894</v>
      </c>
      <c r="K956" s="16">
        <v>67724</v>
      </c>
      <c r="L956" s="8" t="s">
        <v>2420</v>
      </c>
      <c r="M956" s="8" t="s">
        <v>3331</v>
      </c>
      <c r="N956" s="8" t="s">
        <v>3373</v>
      </c>
      <c r="O956" s="8" t="s">
        <v>3381</v>
      </c>
      <c r="P956" s="8" t="s">
        <v>3421</v>
      </c>
      <c r="Q956" s="8">
        <v>3375.41</v>
      </c>
      <c r="R956" s="16">
        <v>11</v>
      </c>
      <c r="S956" s="21">
        <v>0.47</v>
      </c>
      <c r="T956" s="16">
        <v>-290.83999999999997</v>
      </c>
    </row>
    <row r="957" spans="1:20" x14ac:dyDescent="0.3">
      <c r="A957" s="5" t="s">
        <v>975</v>
      </c>
      <c r="B957" s="12">
        <v>44147.771770833337</v>
      </c>
      <c r="C957" s="12">
        <v>44149.771771771768</v>
      </c>
      <c r="D957" s="6" t="s">
        <v>1021</v>
      </c>
      <c r="E957" s="6" t="s">
        <v>1931</v>
      </c>
      <c r="F957" s="6" t="s">
        <v>2398</v>
      </c>
      <c r="G957" s="6" t="s">
        <v>2406</v>
      </c>
      <c r="H957" s="6" t="s">
        <v>2409</v>
      </c>
      <c r="I957" s="6" t="s">
        <v>2410</v>
      </c>
      <c r="J957" s="15" t="s">
        <v>3895</v>
      </c>
      <c r="K957" s="15">
        <v>85343</v>
      </c>
      <c r="L957" s="6" t="s">
        <v>2421</v>
      </c>
      <c r="M957" s="6" t="s">
        <v>3332</v>
      </c>
      <c r="N957" s="6" t="s">
        <v>3371</v>
      </c>
      <c r="O957" s="6" t="s">
        <v>3374</v>
      </c>
      <c r="P957" s="6" t="s">
        <v>3860</v>
      </c>
      <c r="Q957" s="6">
        <v>3481.17</v>
      </c>
      <c r="R957" s="15">
        <v>13</v>
      </c>
      <c r="S957" s="20">
        <v>0.3</v>
      </c>
      <c r="T957" s="15">
        <v>986.63</v>
      </c>
    </row>
    <row r="958" spans="1:20" x14ac:dyDescent="0.3">
      <c r="A958" s="7" t="s">
        <v>976</v>
      </c>
      <c r="B958" s="13">
        <v>44148.86787037037</v>
      </c>
      <c r="C958" s="13">
        <v>44152.867867867863</v>
      </c>
      <c r="D958" s="8" t="s">
        <v>1022</v>
      </c>
      <c r="E958" s="8" t="s">
        <v>1932</v>
      </c>
      <c r="F958" s="8" t="s">
        <v>2051</v>
      </c>
      <c r="G958" s="8" t="s">
        <v>2407</v>
      </c>
      <c r="H958" s="8" t="s">
        <v>2409</v>
      </c>
      <c r="I958" s="8" t="s">
        <v>2414</v>
      </c>
      <c r="J958" s="16" t="s">
        <v>3891</v>
      </c>
      <c r="K958" s="16">
        <v>97554</v>
      </c>
      <c r="L958" s="8" t="s">
        <v>2421</v>
      </c>
      <c r="M958" s="8" t="s">
        <v>3074</v>
      </c>
      <c r="N958" s="8" t="s">
        <v>3372</v>
      </c>
      <c r="O958" s="8" t="s">
        <v>3377</v>
      </c>
      <c r="P958" s="8" t="s">
        <v>3429</v>
      </c>
      <c r="Q958" s="8">
        <v>2472.92</v>
      </c>
      <c r="R958" s="16">
        <v>9</v>
      </c>
      <c r="S958" s="21">
        <v>0.33</v>
      </c>
      <c r="T958" s="16">
        <v>267.64999999999998</v>
      </c>
    </row>
    <row r="959" spans="1:20" x14ac:dyDescent="0.3">
      <c r="A959" s="5" t="s">
        <v>977</v>
      </c>
      <c r="B959" s="12">
        <v>44149.963958333334</v>
      </c>
      <c r="C959" s="12">
        <v>44150.963963963957</v>
      </c>
      <c r="D959" s="6" t="s">
        <v>1022</v>
      </c>
      <c r="E959" s="6" t="s">
        <v>1933</v>
      </c>
      <c r="F959" s="6" t="s">
        <v>1982</v>
      </c>
      <c r="G959" s="6" t="s">
        <v>2407</v>
      </c>
      <c r="H959" s="6" t="s">
        <v>2409</v>
      </c>
      <c r="I959" s="6" t="s">
        <v>2413</v>
      </c>
      <c r="J959" s="15" t="s">
        <v>3896</v>
      </c>
      <c r="K959" s="15">
        <v>52675</v>
      </c>
      <c r="L959" s="6" t="s">
        <v>2420</v>
      </c>
      <c r="M959" s="6" t="s">
        <v>3333</v>
      </c>
      <c r="N959" s="6" t="s">
        <v>3373</v>
      </c>
      <c r="O959" s="6" t="s">
        <v>3385</v>
      </c>
      <c r="P959" s="6" t="s">
        <v>3861</v>
      </c>
      <c r="Q959" s="6">
        <v>2122.8000000000002</v>
      </c>
      <c r="R959" s="15">
        <v>13</v>
      </c>
      <c r="S959" s="20">
        <v>0.2</v>
      </c>
      <c r="T959" s="15">
        <v>-71.7</v>
      </c>
    </row>
    <row r="960" spans="1:20" x14ac:dyDescent="0.3">
      <c r="A960" s="7" t="s">
        <v>978</v>
      </c>
      <c r="B960" s="13">
        <v>44151.060057870367</v>
      </c>
      <c r="C960" s="13">
        <v>44157.060060060059</v>
      </c>
      <c r="D960" s="8" t="s">
        <v>1023</v>
      </c>
      <c r="E960" s="8" t="s">
        <v>1934</v>
      </c>
      <c r="F960" s="8" t="s">
        <v>2008</v>
      </c>
      <c r="G960" s="8" t="s">
        <v>2408</v>
      </c>
      <c r="H960" s="8" t="s">
        <v>2409</v>
      </c>
      <c r="I960" s="8" t="s">
        <v>2412</v>
      </c>
      <c r="J960" s="16" t="s">
        <v>3895</v>
      </c>
      <c r="K960" s="16">
        <v>17554</v>
      </c>
      <c r="L960" s="8" t="s">
        <v>2419</v>
      </c>
      <c r="M960" s="8" t="s">
        <v>3334</v>
      </c>
      <c r="N960" s="8" t="s">
        <v>3372</v>
      </c>
      <c r="O960" s="8" t="s">
        <v>3377</v>
      </c>
      <c r="P960" s="8" t="s">
        <v>3562</v>
      </c>
      <c r="Q960" s="8">
        <v>856.49</v>
      </c>
      <c r="R960" s="16">
        <v>8</v>
      </c>
      <c r="S960" s="21">
        <v>0.31</v>
      </c>
      <c r="T960" s="16">
        <v>395.57</v>
      </c>
    </row>
    <row r="961" spans="1:20" x14ac:dyDescent="0.3">
      <c r="A961" s="5" t="s">
        <v>979</v>
      </c>
      <c r="B961" s="12">
        <v>44152.156157407408</v>
      </c>
      <c r="C961" s="12">
        <v>44156.156156156147</v>
      </c>
      <c r="D961" s="6" t="s">
        <v>1022</v>
      </c>
      <c r="E961" s="6" t="s">
        <v>1935</v>
      </c>
      <c r="F961" s="6" t="s">
        <v>2232</v>
      </c>
      <c r="G961" s="6" t="s">
        <v>2407</v>
      </c>
      <c r="H961" s="6" t="s">
        <v>2409</v>
      </c>
      <c r="I961" s="6" t="s">
        <v>2412</v>
      </c>
      <c r="J961" s="15" t="s">
        <v>3896</v>
      </c>
      <c r="K961" s="15">
        <v>46095</v>
      </c>
      <c r="L961" s="6" t="s">
        <v>2421</v>
      </c>
      <c r="M961" s="6" t="s">
        <v>3335</v>
      </c>
      <c r="N961" s="6" t="s">
        <v>3371</v>
      </c>
      <c r="O961" s="6" t="s">
        <v>3383</v>
      </c>
      <c r="P961" s="6" t="s">
        <v>3626</v>
      </c>
      <c r="Q961" s="6">
        <v>1422.54</v>
      </c>
      <c r="R961" s="15">
        <v>12</v>
      </c>
      <c r="S961" s="20">
        <v>0.51</v>
      </c>
      <c r="T961" s="15">
        <v>369.57</v>
      </c>
    </row>
    <row r="962" spans="1:20" x14ac:dyDescent="0.3">
      <c r="A962" s="7" t="s">
        <v>980</v>
      </c>
      <c r="B962" s="13">
        <v>44153.252256944441</v>
      </c>
      <c r="C962" s="13">
        <v>44159.252252252249</v>
      </c>
      <c r="D962" s="8" t="s">
        <v>1020</v>
      </c>
      <c r="E962" s="8" t="s">
        <v>1936</v>
      </c>
      <c r="F962" s="8" t="s">
        <v>2399</v>
      </c>
      <c r="G962" s="8" t="s">
        <v>2406</v>
      </c>
      <c r="H962" s="8" t="s">
        <v>2409</v>
      </c>
      <c r="I962" s="8" t="s">
        <v>2416</v>
      </c>
      <c r="J962" s="16" t="s">
        <v>3895</v>
      </c>
      <c r="K962" s="16">
        <v>47513</v>
      </c>
      <c r="L962" s="8" t="s">
        <v>2420</v>
      </c>
      <c r="M962" s="8" t="s">
        <v>3336</v>
      </c>
      <c r="N962" s="8" t="s">
        <v>3371</v>
      </c>
      <c r="O962" s="8" t="s">
        <v>3375</v>
      </c>
      <c r="P962" s="8" t="s">
        <v>3403</v>
      </c>
      <c r="Q962" s="8">
        <v>436.14</v>
      </c>
      <c r="R962" s="16">
        <v>9</v>
      </c>
      <c r="S962" s="21">
        <v>0.04</v>
      </c>
      <c r="T962" s="16">
        <v>232.67</v>
      </c>
    </row>
    <row r="963" spans="1:20" x14ac:dyDescent="0.3">
      <c r="A963" s="5" t="s">
        <v>981</v>
      </c>
      <c r="B963" s="12">
        <v>44154.348344907405</v>
      </c>
      <c r="C963" s="12">
        <v>44160.348348348343</v>
      </c>
      <c r="D963" s="6" t="s">
        <v>1020</v>
      </c>
      <c r="E963" s="6" t="s">
        <v>1937</v>
      </c>
      <c r="F963" s="6" t="s">
        <v>1973</v>
      </c>
      <c r="G963" s="6" t="s">
        <v>2408</v>
      </c>
      <c r="H963" s="6" t="s">
        <v>2409</v>
      </c>
      <c r="I963" s="6" t="s">
        <v>2411</v>
      </c>
      <c r="J963" s="15" t="s">
        <v>3895</v>
      </c>
      <c r="K963" s="15">
        <v>32413</v>
      </c>
      <c r="L963" s="6" t="s">
        <v>2420</v>
      </c>
      <c r="M963" s="6" t="s">
        <v>3337</v>
      </c>
      <c r="N963" s="6" t="s">
        <v>3373</v>
      </c>
      <c r="O963" s="6" t="s">
        <v>3379</v>
      </c>
      <c r="P963" s="6" t="s">
        <v>3819</v>
      </c>
      <c r="Q963" s="6">
        <v>1186.6500000000001</v>
      </c>
      <c r="R963" s="15">
        <v>3</v>
      </c>
      <c r="S963" s="20">
        <v>0.78</v>
      </c>
      <c r="T963" s="15">
        <v>524.33000000000004</v>
      </c>
    </row>
    <row r="964" spans="1:20" x14ac:dyDescent="0.3">
      <c r="A964" s="7" t="s">
        <v>982</v>
      </c>
      <c r="B964" s="13">
        <v>44155.444444444445</v>
      </c>
      <c r="C964" s="13">
        <v>44157.444444444453</v>
      </c>
      <c r="D964" s="8" t="s">
        <v>1021</v>
      </c>
      <c r="E964" s="8" t="s">
        <v>1938</v>
      </c>
      <c r="F964" s="8" t="s">
        <v>2400</v>
      </c>
      <c r="G964" s="8" t="s">
        <v>2406</v>
      </c>
      <c r="H964" s="8" t="s">
        <v>2409</v>
      </c>
      <c r="I964" s="8" t="s">
        <v>2413</v>
      </c>
      <c r="J964" s="16" t="s">
        <v>3893</v>
      </c>
      <c r="K964" s="16">
        <v>22533</v>
      </c>
      <c r="L964" s="8" t="s">
        <v>2421</v>
      </c>
      <c r="M964" s="8" t="s">
        <v>3338</v>
      </c>
      <c r="N964" s="8" t="s">
        <v>3371</v>
      </c>
      <c r="O964" s="8" t="s">
        <v>3375</v>
      </c>
      <c r="P964" s="8" t="s">
        <v>3647</v>
      </c>
      <c r="Q964" s="8">
        <v>2645.93</v>
      </c>
      <c r="R964" s="16">
        <v>2</v>
      </c>
      <c r="S964" s="21">
        <v>0.84</v>
      </c>
      <c r="T964" s="16">
        <v>200.95</v>
      </c>
    </row>
    <row r="965" spans="1:20" x14ac:dyDescent="0.3">
      <c r="A965" s="5" t="s">
        <v>983</v>
      </c>
      <c r="B965" s="12">
        <v>44156.540543981479</v>
      </c>
      <c r="C965" s="12">
        <v>44160.540540540533</v>
      </c>
      <c r="D965" s="6" t="s">
        <v>1022</v>
      </c>
      <c r="E965" s="6" t="s">
        <v>1939</v>
      </c>
      <c r="F965" s="6" t="s">
        <v>2077</v>
      </c>
      <c r="G965" s="6" t="s">
        <v>2408</v>
      </c>
      <c r="H965" s="6" t="s">
        <v>2409</v>
      </c>
      <c r="I965" s="6" t="s">
        <v>2412</v>
      </c>
      <c r="J965" s="15" t="s">
        <v>2410</v>
      </c>
      <c r="K965" s="15">
        <v>56547</v>
      </c>
      <c r="L965" s="6" t="s">
        <v>2419</v>
      </c>
      <c r="M965" s="6" t="s">
        <v>3339</v>
      </c>
      <c r="N965" s="6" t="s">
        <v>3373</v>
      </c>
      <c r="O965" s="6" t="s">
        <v>3379</v>
      </c>
      <c r="P965" s="6" t="s">
        <v>3862</v>
      </c>
      <c r="Q965" s="6">
        <v>3748.6</v>
      </c>
      <c r="R965" s="15">
        <v>12</v>
      </c>
      <c r="S965" s="20">
        <v>0.84</v>
      </c>
      <c r="T965" s="15">
        <v>916.67</v>
      </c>
    </row>
    <row r="966" spans="1:20" x14ac:dyDescent="0.3">
      <c r="A966" s="7" t="s">
        <v>984</v>
      </c>
      <c r="B966" s="13">
        <v>44157.636631944442</v>
      </c>
      <c r="C966" s="13">
        <v>44160.636636636627</v>
      </c>
      <c r="D966" s="8" t="s">
        <v>1020</v>
      </c>
      <c r="E966" s="8" t="s">
        <v>1940</v>
      </c>
      <c r="F966" s="8" t="s">
        <v>2331</v>
      </c>
      <c r="G966" s="8" t="s">
        <v>2406</v>
      </c>
      <c r="H966" s="8" t="s">
        <v>2409</v>
      </c>
      <c r="I966" s="8" t="s">
        <v>2414</v>
      </c>
      <c r="J966" s="16" t="s">
        <v>3895</v>
      </c>
      <c r="K966" s="16">
        <v>86664</v>
      </c>
      <c r="L966" s="8" t="s">
        <v>2419</v>
      </c>
      <c r="M966" s="8" t="s">
        <v>3340</v>
      </c>
      <c r="N966" s="8" t="s">
        <v>3373</v>
      </c>
      <c r="O966" s="8" t="s">
        <v>3385</v>
      </c>
      <c r="P966" s="8" t="s">
        <v>3467</v>
      </c>
      <c r="Q966" s="8">
        <v>1431.87</v>
      </c>
      <c r="R966" s="16">
        <v>13</v>
      </c>
      <c r="S966" s="21">
        <v>0.76</v>
      </c>
      <c r="T966" s="16">
        <v>792.9</v>
      </c>
    </row>
    <row r="967" spans="1:20" x14ac:dyDescent="0.3">
      <c r="A967" s="5" t="s">
        <v>985</v>
      </c>
      <c r="B967" s="12">
        <v>44158.732731481483</v>
      </c>
      <c r="C967" s="12">
        <v>44163.732732732729</v>
      </c>
      <c r="D967" s="6" t="s">
        <v>1023</v>
      </c>
      <c r="E967" s="6" t="s">
        <v>1941</v>
      </c>
      <c r="F967" s="6" t="s">
        <v>2401</v>
      </c>
      <c r="G967" s="6" t="s">
        <v>2407</v>
      </c>
      <c r="H967" s="6" t="s">
        <v>2409</v>
      </c>
      <c r="I967" s="6" t="s">
        <v>2418</v>
      </c>
      <c r="J967" s="15" t="s">
        <v>3895</v>
      </c>
      <c r="K967" s="15">
        <v>62885</v>
      </c>
      <c r="L967" s="6" t="s">
        <v>2422</v>
      </c>
      <c r="M967" s="6" t="s">
        <v>3341</v>
      </c>
      <c r="N967" s="6" t="s">
        <v>3371</v>
      </c>
      <c r="O967" s="6" t="s">
        <v>3374</v>
      </c>
      <c r="P967" s="6" t="s">
        <v>3759</v>
      </c>
      <c r="Q967" s="6">
        <v>4456.93</v>
      </c>
      <c r="R967" s="15">
        <v>8</v>
      </c>
      <c r="S967" s="20">
        <v>0.02</v>
      </c>
      <c r="T967" s="15">
        <v>298.22000000000003</v>
      </c>
    </row>
    <row r="968" spans="1:20" x14ac:dyDescent="0.3">
      <c r="A968" s="7" t="s">
        <v>986</v>
      </c>
      <c r="B968" s="13">
        <v>44159.828831018516</v>
      </c>
      <c r="C968" s="13">
        <v>44165.828828828817</v>
      </c>
      <c r="D968" s="8" t="s">
        <v>1022</v>
      </c>
      <c r="E968" s="8" t="s">
        <v>1942</v>
      </c>
      <c r="F968" s="8" t="s">
        <v>2284</v>
      </c>
      <c r="G968" s="8" t="s">
        <v>2407</v>
      </c>
      <c r="H968" s="8" t="s">
        <v>2409</v>
      </c>
      <c r="I968" s="8" t="s">
        <v>2413</v>
      </c>
      <c r="J968" s="16" t="s">
        <v>3893</v>
      </c>
      <c r="K968" s="16">
        <v>58596</v>
      </c>
      <c r="L968" s="8" t="s">
        <v>2419</v>
      </c>
      <c r="M968" s="8" t="s">
        <v>3342</v>
      </c>
      <c r="N968" s="8" t="s">
        <v>3371</v>
      </c>
      <c r="O968" s="8" t="s">
        <v>3374</v>
      </c>
      <c r="P968" s="8" t="s">
        <v>3402</v>
      </c>
      <c r="Q968" s="8">
        <v>163.19999999999999</v>
      </c>
      <c r="R968" s="16">
        <v>12</v>
      </c>
      <c r="S968" s="21">
        <v>0.01</v>
      </c>
      <c r="T968" s="16">
        <v>66.7</v>
      </c>
    </row>
    <row r="969" spans="1:20" x14ac:dyDescent="0.3">
      <c r="A969" s="5" t="s">
        <v>987</v>
      </c>
      <c r="B969" s="12">
        <v>44160.924930555557</v>
      </c>
      <c r="C969" s="12">
        <v>44161.924924924919</v>
      </c>
      <c r="D969" s="6" t="s">
        <v>1022</v>
      </c>
      <c r="E969" s="6" t="s">
        <v>1943</v>
      </c>
      <c r="F969" s="6" t="s">
        <v>2402</v>
      </c>
      <c r="G969" s="6" t="s">
        <v>2406</v>
      </c>
      <c r="H969" s="6" t="s">
        <v>2409</v>
      </c>
      <c r="I969" s="6" t="s">
        <v>2415</v>
      </c>
      <c r="J969" s="15" t="s">
        <v>3894</v>
      </c>
      <c r="K969" s="15">
        <v>94248</v>
      </c>
      <c r="L969" s="6" t="s">
        <v>2420</v>
      </c>
      <c r="M969" s="6" t="s">
        <v>3343</v>
      </c>
      <c r="N969" s="6" t="s">
        <v>3371</v>
      </c>
      <c r="O969" s="6" t="s">
        <v>3383</v>
      </c>
      <c r="P969" s="6" t="s">
        <v>3807</v>
      </c>
      <c r="Q969" s="6">
        <v>4325.78</v>
      </c>
      <c r="R969" s="15">
        <v>5</v>
      </c>
      <c r="S969" s="20">
        <v>0.75</v>
      </c>
      <c r="T969" s="15">
        <v>2160.7800000000002</v>
      </c>
    </row>
    <row r="970" spans="1:20" x14ac:dyDescent="0.3">
      <c r="A970" s="7" t="s">
        <v>988</v>
      </c>
      <c r="B970" s="13">
        <v>44162.021018518521</v>
      </c>
      <c r="C970" s="13">
        <v>44164.021021021021</v>
      </c>
      <c r="D970" s="8" t="s">
        <v>1023</v>
      </c>
      <c r="E970" s="8" t="s">
        <v>1880</v>
      </c>
      <c r="F970" s="8" t="s">
        <v>1977</v>
      </c>
      <c r="G970" s="8" t="s">
        <v>2407</v>
      </c>
      <c r="H970" s="8" t="s">
        <v>2409</v>
      </c>
      <c r="I970" s="8" t="s">
        <v>2412</v>
      </c>
      <c r="J970" s="16" t="s">
        <v>3894</v>
      </c>
      <c r="K970" s="16">
        <v>63839</v>
      </c>
      <c r="L970" s="8" t="s">
        <v>2419</v>
      </c>
      <c r="M970" s="8" t="s">
        <v>3344</v>
      </c>
      <c r="N970" s="8" t="s">
        <v>3372</v>
      </c>
      <c r="O970" s="8" t="s">
        <v>3376</v>
      </c>
      <c r="P970" s="8" t="s">
        <v>3810</v>
      </c>
      <c r="Q970" s="8">
        <v>1793.86</v>
      </c>
      <c r="R970" s="16">
        <v>11</v>
      </c>
      <c r="S970" s="21">
        <v>0.7</v>
      </c>
      <c r="T970" s="16">
        <v>-205.61</v>
      </c>
    </row>
    <row r="971" spans="1:20" x14ac:dyDescent="0.3">
      <c r="A971" s="5" t="s">
        <v>989</v>
      </c>
      <c r="B971" s="12">
        <v>44163.117118055554</v>
      </c>
      <c r="C971" s="12">
        <v>44169.117117117108</v>
      </c>
      <c r="D971" s="6" t="s">
        <v>1021</v>
      </c>
      <c r="E971" s="6" t="s">
        <v>1944</v>
      </c>
      <c r="F971" s="6" t="s">
        <v>2282</v>
      </c>
      <c r="G971" s="6" t="s">
        <v>2406</v>
      </c>
      <c r="H971" s="6" t="s">
        <v>2409</v>
      </c>
      <c r="I971" s="6" t="s">
        <v>2416</v>
      </c>
      <c r="J971" s="15" t="s">
        <v>3897</v>
      </c>
      <c r="K971" s="15">
        <v>18998</v>
      </c>
      <c r="L971" s="6" t="s">
        <v>2419</v>
      </c>
      <c r="M971" s="6" t="s">
        <v>3345</v>
      </c>
      <c r="N971" s="6" t="s">
        <v>3371</v>
      </c>
      <c r="O971" s="6" t="s">
        <v>3374</v>
      </c>
      <c r="P971" s="6" t="s">
        <v>3563</v>
      </c>
      <c r="Q971" s="6">
        <v>1226.04</v>
      </c>
      <c r="R971" s="15">
        <v>4</v>
      </c>
      <c r="S971" s="20">
        <v>0.02</v>
      </c>
      <c r="T971" s="15">
        <v>101.78</v>
      </c>
    </row>
    <row r="972" spans="1:20" x14ac:dyDescent="0.3">
      <c r="A972" s="7" t="s">
        <v>990</v>
      </c>
      <c r="B972" s="13">
        <v>44164.213217592594</v>
      </c>
      <c r="C972" s="13">
        <v>44167.213213213203</v>
      </c>
      <c r="D972" s="8" t="s">
        <v>1020</v>
      </c>
      <c r="E972" s="8" t="s">
        <v>1945</v>
      </c>
      <c r="F972" s="8" t="s">
        <v>2403</v>
      </c>
      <c r="G972" s="8" t="s">
        <v>2406</v>
      </c>
      <c r="H972" s="8" t="s">
        <v>2409</v>
      </c>
      <c r="I972" s="8" t="s">
        <v>2415</v>
      </c>
      <c r="J972" s="16" t="s">
        <v>3895</v>
      </c>
      <c r="K972" s="16">
        <v>84098</v>
      </c>
      <c r="L972" s="8" t="s">
        <v>2422</v>
      </c>
      <c r="M972" s="8" t="s">
        <v>3346</v>
      </c>
      <c r="N972" s="8" t="s">
        <v>3372</v>
      </c>
      <c r="O972" s="8" t="s">
        <v>3376</v>
      </c>
      <c r="P972" s="8" t="s">
        <v>3472</v>
      </c>
      <c r="Q972" s="8">
        <v>176.83</v>
      </c>
      <c r="R972" s="16">
        <v>14</v>
      </c>
      <c r="S972" s="21">
        <v>0.21</v>
      </c>
      <c r="T972" s="16">
        <v>88.66</v>
      </c>
    </row>
    <row r="973" spans="1:20" x14ac:dyDescent="0.3">
      <c r="A973" s="5" t="s">
        <v>991</v>
      </c>
      <c r="B973" s="12">
        <v>44165.309305555558</v>
      </c>
      <c r="C973" s="12">
        <v>44166.309309309298</v>
      </c>
      <c r="D973" s="6" t="s">
        <v>1020</v>
      </c>
      <c r="E973" s="6" t="s">
        <v>1946</v>
      </c>
      <c r="F973" s="6" t="s">
        <v>2085</v>
      </c>
      <c r="G973" s="6" t="s">
        <v>2406</v>
      </c>
      <c r="H973" s="6" t="s">
        <v>2409</v>
      </c>
      <c r="I973" s="6" t="s">
        <v>2415</v>
      </c>
      <c r="J973" s="15" t="s">
        <v>3896</v>
      </c>
      <c r="K973" s="15">
        <v>78685</v>
      </c>
      <c r="L973" s="6" t="s">
        <v>2421</v>
      </c>
      <c r="M973" s="6" t="s">
        <v>3347</v>
      </c>
      <c r="N973" s="6" t="s">
        <v>3373</v>
      </c>
      <c r="O973" s="6" t="s">
        <v>3385</v>
      </c>
      <c r="P973" s="6" t="s">
        <v>3638</v>
      </c>
      <c r="Q973" s="6">
        <v>745.96</v>
      </c>
      <c r="R973" s="15">
        <v>9</v>
      </c>
      <c r="S973" s="20">
        <v>0.79</v>
      </c>
      <c r="T973" s="15">
        <v>441.67</v>
      </c>
    </row>
    <row r="974" spans="1:20" x14ac:dyDescent="0.3">
      <c r="A974" s="7" t="s">
        <v>992</v>
      </c>
      <c r="B974" s="13">
        <v>44166.405405092592</v>
      </c>
      <c r="C974" s="13">
        <v>44167.405405405407</v>
      </c>
      <c r="D974" s="8" t="s">
        <v>1020</v>
      </c>
      <c r="E974" s="8" t="s">
        <v>1202</v>
      </c>
      <c r="F974" s="8" t="s">
        <v>2404</v>
      </c>
      <c r="G974" s="8" t="s">
        <v>2408</v>
      </c>
      <c r="H974" s="8" t="s">
        <v>2409</v>
      </c>
      <c r="I974" s="8" t="s">
        <v>2414</v>
      </c>
      <c r="J974" s="16" t="s">
        <v>3898</v>
      </c>
      <c r="K974" s="16">
        <v>47283</v>
      </c>
      <c r="L974" s="8" t="s">
        <v>2420</v>
      </c>
      <c r="M974" s="8" t="s">
        <v>3348</v>
      </c>
      <c r="N974" s="8" t="s">
        <v>3372</v>
      </c>
      <c r="O974" s="8" t="s">
        <v>3384</v>
      </c>
      <c r="P974" s="8" t="s">
        <v>3727</v>
      </c>
      <c r="Q974" s="8">
        <v>3030.89</v>
      </c>
      <c r="R974" s="16">
        <v>6</v>
      </c>
      <c r="S974" s="21">
        <v>0.56000000000000005</v>
      </c>
      <c r="T974" s="16">
        <v>1786.18</v>
      </c>
    </row>
    <row r="975" spans="1:20" x14ac:dyDescent="0.3">
      <c r="A975" s="5" t="s">
        <v>993</v>
      </c>
      <c r="B975" s="12">
        <v>44167.501504629632</v>
      </c>
      <c r="C975" s="12">
        <v>44172.501501501487</v>
      </c>
      <c r="D975" s="6" t="s">
        <v>1023</v>
      </c>
      <c r="E975" s="6" t="s">
        <v>1947</v>
      </c>
      <c r="F975" s="6" t="s">
        <v>2346</v>
      </c>
      <c r="G975" s="6" t="s">
        <v>2406</v>
      </c>
      <c r="H975" s="6" t="s">
        <v>2409</v>
      </c>
      <c r="I975" s="6" t="s">
        <v>2414</v>
      </c>
      <c r="J975" s="15" t="s">
        <v>3891</v>
      </c>
      <c r="K975" s="15">
        <v>54921</v>
      </c>
      <c r="L975" s="6" t="s">
        <v>2422</v>
      </c>
      <c r="M975" s="6" t="s">
        <v>3349</v>
      </c>
      <c r="N975" s="6" t="s">
        <v>3371</v>
      </c>
      <c r="O975" s="6" t="s">
        <v>3375</v>
      </c>
      <c r="P975" s="6" t="s">
        <v>3691</v>
      </c>
      <c r="Q975" s="6">
        <v>4557.32</v>
      </c>
      <c r="R975" s="15">
        <v>8</v>
      </c>
      <c r="S975" s="20">
        <v>0.8</v>
      </c>
      <c r="T975" s="15">
        <v>2135.23</v>
      </c>
    </row>
    <row r="976" spans="1:20" x14ac:dyDescent="0.3">
      <c r="A976" s="7" t="s">
        <v>994</v>
      </c>
      <c r="B976" s="13">
        <v>44168.597592592596</v>
      </c>
      <c r="C976" s="13">
        <v>44174.597597597603</v>
      </c>
      <c r="D976" s="8" t="s">
        <v>1022</v>
      </c>
      <c r="E976" s="8" t="s">
        <v>1948</v>
      </c>
      <c r="F976" s="8" t="s">
        <v>2239</v>
      </c>
      <c r="G976" s="8" t="s">
        <v>2406</v>
      </c>
      <c r="H976" s="8" t="s">
        <v>2409</v>
      </c>
      <c r="I976" s="8" t="s">
        <v>2411</v>
      </c>
      <c r="J976" s="16" t="s">
        <v>2410</v>
      </c>
      <c r="K976" s="16">
        <v>83978</v>
      </c>
      <c r="L976" s="8" t="s">
        <v>2421</v>
      </c>
      <c r="M976" s="8" t="s">
        <v>3350</v>
      </c>
      <c r="N976" s="8" t="s">
        <v>3373</v>
      </c>
      <c r="O976" s="8" t="s">
        <v>3385</v>
      </c>
      <c r="P976" s="8" t="s">
        <v>3601</v>
      </c>
      <c r="Q976" s="8">
        <v>3086.32</v>
      </c>
      <c r="R976" s="16">
        <v>14</v>
      </c>
      <c r="S976" s="21">
        <v>0.67</v>
      </c>
      <c r="T976" s="16">
        <v>1556.26</v>
      </c>
    </row>
    <row r="977" spans="1:20" x14ac:dyDescent="0.3">
      <c r="A977" s="5" t="s">
        <v>995</v>
      </c>
      <c r="B977" s="12">
        <v>44169.693692129629</v>
      </c>
      <c r="C977" s="12">
        <v>44175.693693693691</v>
      </c>
      <c r="D977" s="6" t="s">
        <v>1022</v>
      </c>
      <c r="E977" s="6" t="s">
        <v>1772</v>
      </c>
      <c r="F977" s="6" t="s">
        <v>2196</v>
      </c>
      <c r="G977" s="6" t="s">
        <v>2407</v>
      </c>
      <c r="H977" s="6" t="s">
        <v>2409</v>
      </c>
      <c r="I977" s="6" t="s">
        <v>2413</v>
      </c>
      <c r="J977" s="15" t="s">
        <v>3894</v>
      </c>
      <c r="K977" s="15">
        <v>53738</v>
      </c>
      <c r="L977" s="6" t="s">
        <v>2419</v>
      </c>
      <c r="M977" s="6" t="s">
        <v>3351</v>
      </c>
      <c r="N977" s="6" t="s">
        <v>3372</v>
      </c>
      <c r="O977" s="6" t="s">
        <v>3376</v>
      </c>
      <c r="P977" s="6" t="s">
        <v>3495</v>
      </c>
      <c r="Q977" s="6">
        <v>2258.54</v>
      </c>
      <c r="R977" s="15">
        <v>7</v>
      </c>
      <c r="S977" s="20">
        <v>0.18</v>
      </c>
      <c r="T977" s="15">
        <v>554.04</v>
      </c>
    </row>
    <row r="978" spans="1:20" x14ac:dyDescent="0.3">
      <c r="A978" s="7" t="s">
        <v>996</v>
      </c>
      <c r="B978" s="13">
        <v>44170.78979166667</v>
      </c>
      <c r="C978" s="13">
        <v>44171.789789789778</v>
      </c>
      <c r="D978" s="8" t="s">
        <v>1023</v>
      </c>
      <c r="E978" s="8" t="s">
        <v>1949</v>
      </c>
      <c r="F978" s="8" t="s">
        <v>2291</v>
      </c>
      <c r="G978" s="8" t="s">
        <v>2408</v>
      </c>
      <c r="H978" s="8" t="s">
        <v>2409</v>
      </c>
      <c r="I978" s="8" t="s">
        <v>2411</v>
      </c>
      <c r="J978" s="16" t="s">
        <v>3896</v>
      </c>
      <c r="K978" s="16">
        <v>46940</v>
      </c>
      <c r="L978" s="8" t="s">
        <v>2420</v>
      </c>
      <c r="M978" s="8" t="s">
        <v>3352</v>
      </c>
      <c r="N978" s="8" t="s">
        <v>3372</v>
      </c>
      <c r="O978" s="8" t="s">
        <v>3384</v>
      </c>
      <c r="P978" s="8" t="s">
        <v>3673</v>
      </c>
      <c r="Q978" s="8">
        <v>1410.96</v>
      </c>
      <c r="R978" s="16">
        <v>9</v>
      </c>
      <c r="S978" s="21">
        <v>0.85</v>
      </c>
      <c r="T978" s="16">
        <v>261.52</v>
      </c>
    </row>
    <row r="979" spans="1:20" x14ac:dyDescent="0.3">
      <c r="A979" s="5" t="s">
        <v>997</v>
      </c>
      <c r="B979" s="12">
        <v>44171.885891203703</v>
      </c>
      <c r="C979" s="12">
        <v>44176.88588588588</v>
      </c>
      <c r="D979" s="6" t="s">
        <v>1023</v>
      </c>
      <c r="E979" s="6" t="s">
        <v>1950</v>
      </c>
      <c r="F979" s="6" t="s">
        <v>2259</v>
      </c>
      <c r="G979" s="6" t="s">
        <v>2406</v>
      </c>
      <c r="H979" s="6" t="s">
        <v>2409</v>
      </c>
      <c r="I979" s="6" t="s">
        <v>2413</v>
      </c>
      <c r="J979" s="15" t="s">
        <v>3898</v>
      </c>
      <c r="K979" s="15">
        <v>58698</v>
      </c>
      <c r="L979" s="6" t="s">
        <v>2421</v>
      </c>
      <c r="M979" s="6" t="s">
        <v>3353</v>
      </c>
      <c r="N979" s="6" t="s">
        <v>3371</v>
      </c>
      <c r="O979" s="6" t="s">
        <v>3374</v>
      </c>
      <c r="P979" s="6" t="s">
        <v>3770</v>
      </c>
      <c r="Q979" s="6">
        <v>2503.61</v>
      </c>
      <c r="R979" s="15">
        <v>10</v>
      </c>
      <c r="S979" s="20">
        <v>0.41</v>
      </c>
      <c r="T979" s="15">
        <v>-445.16</v>
      </c>
    </row>
    <row r="980" spans="1:20" x14ac:dyDescent="0.3">
      <c r="A980" s="7" t="s">
        <v>998</v>
      </c>
      <c r="B980" s="13">
        <v>44172.981979166667</v>
      </c>
      <c r="C980" s="13">
        <v>44177.981981981982</v>
      </c>
      <c r="D980" s="8" t="s">
        <v>1023</v>
      </c>
      <c r="E980" s="8" t="s">
        <v>1025</v>
      </c>
      <c r="F980" s="8" t="s">
        <v>2223</v>
      </c>
      <c r="G980" s="8" t="s">
        <v>2407</v>
      </c>
      <c r="H980" s="8" t="s">
        <v>2409</v>
      </c>
      <c r="I980" s="8" t="s">
        <v>2416</v>
      </c>
      <c r="J980" s="16" t="s">
        <v>3892</v>
      </c>
      <c r="K980" s="16">
        <v>82067</v>
      </c>
      <c r="L980" s="8" t="s">
        <v>2422</v>
      </c>
      <c r="M980" s="8" t="s">
        <v>3354</v>
      </c>
      <c r="N980" s="8" t="s">
        <v>3371</v>
      </c>
      <c r="O980" s="8" t="s">
        <v>3383</v>
      </c>
      <c r="P980" s="8" t="s">
        <v>3863</v>
      </c>
      <c r="Q980" s="8">
        <v>3714.42</v>
      </c>
      <c r="R980" s="16">
        <v>12</v>
      </c>
      <c r="S980" s="21">
        <v>0.03</v>
      </c>
      <c r="T980" s="16">
        <v>1679.94</v>
      </c>
    </row>
    <row r="981" spans="1:20" x14ac:dyDescent="0.3">
      <c r="A981" s="5" t="s">
        <v>999</v>
      </c>
      <c r="B981" s="12">
        <v>44174.0780787037</v>
      </c>
      <c r="C981" s="12">
        <v>44178.07807807807</v>
      </c>
      <c r="D981" s="6" t="s">
        <v>1021</v>
      </c>
      <c r="E981" s="6" t="s">
        <v>1951</v>
      </c>
      <c r="F981" s="6" t="s">
        <v>2318</v>
      </c>
      <c r="G981" s="6" t="s">
        <v>2407</v>
      </c>
      <c r="H981" s="6" t="s">
        <v>2409</v>
      </c>
      <c r="I981" s="6" t="s">
        <v>2413</v>
      </c>
      <c r="J981" s="15" t="s">
        <v>3897</v>
      </c>
      <c r="K981" s="15">
        <v>89828</v>
      </c>
      <c r="L981" s="6" t="s">
        <v>2420</v>
      </c>
      <c r="M981" s="6" t="s">
        <v>3355</v>
      </c>
      <c r="N981" s="6" t="s">
        <v>3371</v>
      </c>
      <c r="O981" s="6" t="s">
        <v>3374</v>
      </c>
      <c r="P981" s="6" t="s">
        <v>3627</v>
      </c>
      <c r="Q981" s="6">
        <v>402.82</v>
      </c>
      <c r="R981" s="15">
        <v>12</v>
      </c>
      <c r="S981" s="20">
        <v>0.03</v>
      </c>
      <c r="T981" s="15">
        <v>27.49</v>
      </c>
    </row>
    <row r="982" spans="1:20" x14ac:dyDescent="0.3">
      <c r="A982" s="7" t="s">
        <v>1000</v>
      </c>
      <c r="B982" s="13">
        <v>44175.174178240741</v>
      </c>
      <c r="C982" s="13">
        <v>44181.174174174157</v>
      </c>
      <c r="D982" s="8" t="s">
        <v>1023</v>
      </c>
      <c r="E982" s="8" t="s">
        <v>1952</v>
      </c>
      <c r="F982" s="8" t="s">
        <v>1989</v>
      </c>
      <c r="G982" s="8" t="s">
        <v>2408</v>
      </c>
      <c r="H982" s="8" t="s">
        <v>2409</v>
      </c>
      <c r="I982" s="8" t="s">
        <v>2412</v>
      </c>
      <c r="J982" s="16" t="s">
        <v>2410</v>
      </c>
      <c r="K982" s="16">
        <v>66404</v>
      </c>
      <c r="L982" s="8" t="s">
        <v>2422</v>
      </c>
      <c r="M982" s="8" t="s">
        <v>3356</v>
      </c>
      <c r="N982" s="8" t="s">
        <v>3371</v>
      </c>
      <c r="O982" s="8" t="s">
        <v>3375</v>
      </c>
      <c r="P982" s="8" t="s">
        <v>3748</v>
      </c>
      <c r="Q982" s="8">
        <v>2896.89</v>
      </c>
      <c r="R982" s="16">
        <v>8</v>
      </c>
      <c r="S982" s="21">
        <v>0.64</v>
      </c>
      <c r="T982" s="16">
        <v>96.79</v>
      </c>
    </row>
    <row r="983" spans="1:20" x14ac:dyDescent="0.3">
      <c r="A983" s="5" t="s">
        <v>1001</v>
      </c>
      <c r="B983" s="12">
        <v>44176.270266203705</v>
      </c>
      <c r="C983" s="12">
        <v>44177.270270270274</v>
      </c>
      <c r="D983" s="6" t="s">
        <v>1022</v>
      </c>
      <c r="E983" s="6" t="s">
        <v>1234</v>
      </c>
      <c r="F983" s="6" t="s">
        <v>2155</v>
      </c>
      <c r="G983" s="6" t="s">
        <v>2406</v>
      </c>
      <c r="H983" s="6" t="s">
        <v>2409</v>
      </c>
      <c r="I983" s="6" t="s">
        <v>2410</v>
      </c>
      <c r="J983" s="15" t="s">
        <v>3898</v>
      </c>
      <c r="K983" s="15">
        <v>34955</v>
      </c>
      <c r="L983" s="6" t="s">
        <v>2421</v>
      </c>
      <c r="M983" s="6" t="s">
        <v>3357</v>
      </c>
      <c r="N983" s="6" t="s">
        <v>3371</v>
      </c>
      <c r="O983" s="6" t="s">
        <v>3382</v>
      </c>
      <c r="P983" s="6" t="s">
        <v>3864</v>
      </c>
      <c r="Q983" s="6">
        <v>799.39</v>
      </c>
      <c r="R983" s="15">
        <v>3</v>
      </c>
      <c r="S983" s="20">
        <v>0.42</v>
      </c>
      <c r="T983" s="15">
        <v>141.51</v>
      </c>
    </row>
    <row r="984" spans="1:20" x14ac:dyDescent="0.3">
      <c r="A984" s="7" t="s">
        <v>1002</v>
      </c>
      <c r="B984" s="13">
        <v>44177.366365740738</v>
      </c>
      <c r="C984" s="13">
        <v>44178.366366366368</v>
      </c>
      <c r="D984" s="8" t="s">
        <v>1023</v>
      </c>
      <c r="E984" s="8" t="s">
        <v>1953</v>
      </c>
      <c r="F984" s="8" t="s">
        <v>2291</v>
      </c>
      <c r="G984" s="8" t="s">
        <v>2406</v>
      </c>
      <c r="H984" s="8" t="s">
        <v>2409</v>
      </c>
      <c r="I984" s="8" t="s">
        <v>2414</v>
      </c>
      <c r="J984" s="16" t="s">
        <v>2410</v>
      </c>
      <c r="K984" s="16">
        <v>85896</v>
      </c>
      <c r="L984" s="8" t="s">
        <v>2422</v>
      </c>
      <c r="M984" s="8" t="s">
        <v>2487</v>
      </c>
      <c r="N984" s="8" t="s">
        <v>3371</v>
      </c>
      <c r="O984" s="8" t="s">
        <v>3374</v>
      </c>
      <c r="P984" s="8" t="s">
        <v>3473</v>
      </c>
      <c r="Q984" s="8">
        <v>4737.7299999999996</v>
      </c>
      <c r="R984" s="16">
        <v>13</v>
      </c>
      <c r="S984" s="21">
        <v>0.61</v>
      </c>
      <c r="T984" s="16">
        <v>-335.68</v>
      </c>
    </row>
    <row r="985" spans="1:20" x14ac:dyDescent="0.3">
      <c r="A985" s="5" t="s">
        <v>1003</v>
      </c>
      <c r="B985" s="12">
        <v>44178.462465277778</v>
      </c>
      <c r="C985" s="12">
        <v>44183.462462462463</v>
      </c>
      <c r="D985" s="6" t="s">
        <v>1022</v>
      </c>
      <c r="E985" s="6" t="s">
        <v>1954</v>
      </c>
      <c r="F985" s="6" t="s">
        <v>2181</v>
      </c>
      <c r="G985" s="6" t="s">
        <v>2406</v>
      </c>
      <c r="H985" s="6" t="s">
        <v>2409</v>
      </c>
      <c r="I985" s="6" t="s">
        <v>2414</v>
      </c>
      <c r="J985" s="15" t="s">
        <v>2410</v>
      </c>
      <c r="K985" s="15">
        <v>20185</v>
      </c>
      <c r="L985" s="6" t="s">
        <v>2420</v>
      </c>
      <c r="M985" s="6" t="s">
        <v>3358</v>
      </c>
      <c r="N985" s="6" t="s">
        <v>3372</v>
      </c>
      <c r="O985" s="6" t="s">
        <v>3384</v>
      </c>
      <c r="P985" s="6" t="s">
        <v>3797</v>
      </c>
      <c r="Q985" s="6">
        <v>607.80999999999995</v>
      </c>
      <c r="R985" s="15">
        <v>11</v>
      </c>
      <c r="S985" s="20">
        <v>0.24</v>
      </c>
      <c r="T985" s="15">
        <v>42.1</v>
      </c>
    </row>
    <row r="986" spans="1:20" x14ac:dyDescent="0.3">
      <c r="A986" s="7" t="s">
        <v>1004</v>
      </c>
      <c r="B986" s="13">
        <v>44179.558553240742</v>
      </c>
      <c r="C986" s="13">
        <v>44180.55855855855</v>
      </c>
      <c r="D986" s="8" t="s">
        <v>1021</v>
      </c>
      <c r="E986" s="8" t="s">
        <v>1955</v>
      </c>
      <c r="F986" s="8" t="s">
        <v>2267</v>
      </c>
      <c r="G986" s="8" t="s">
        <v>2407</v>
      </c>
      <c r="H986" s="8" t="s">
        <v>2409</v>
      </c>
      <c r="I986" s="8" t="s">
        <v>2415</v>
      </c>
      <c r="J986" s="16" t="s">
        <v>3896</v>
      </c>
      <c r="K986" s="16">
        <v>67057</v>
      </c>
      <c r="L986" s="8" t="s">
        <v>2419</v>
      </c>
      <c r="M986" s="8" t="s">
        <v>3359</v>
      </c>
      <c r="N986" s="8" t="s">
        <v>3373</v>
      </c>
      <c r="O986" s="8" t="s">
        <v>3381</v>
      </c>
      <c r="P986" s="8" t="s">
        <v>3845</v>
      </c>
      <c r="Q986" s="8">
        <v>3406.13</v>
      </c>
      <c r="R986" s="16">
        <v>7</v>
      </c>
      <c r="S986" s="21">
        <v>0.14000000000000001</v>
      </c>
      <c r="T986" s="16">
        <v>-579.63</v>
      </c>
    </row>
    <row r="987" spans="1:20" x14ac:dyDescent="0.3">
      <c r="A987" s="5" t="s">
        <v>1005</v>
      </c>
      <c r="B987" s="12">
        <v>44180.654652777775</v>
      </c>
      <c r="C987" s="12">
        <v>44185.654654654652</v>
      </c>
      <c r="D987" s="6" t="s">
        <v>1021</v>
      </c>
      <c r="E987" s="6" t="s">
        <v>1956</v>
      </c>
      <c r="F987" s="6" t="s">
        <v>2258</v>
      </c>
      <c r="G987" s="6" t="s">
        <v>2407</v>
      </c>
      <c r="H987" s="6" t="s">
        <v>2409</v>
      </c>
      <c r="I987" s="6" t="s">
        <v>2414</v>
      </c>
      <c r="J987" s="15" t="s">
        <v>3894</v>
      </c>
      <c r="K987" s="15">
        <v>51833</v>
      </c>
      <c r="L987" s="6" t="s">
        <v>2419</v>
      </c>
      <c r="M987" s="6" t="s">
        <v>2971</v>
      </c>
      <c r="N987" s="6" t="s">
        <v>3372</v>
      </c>
      <c r="O987" s="6" t="s">
        <v>3376</v>
      </c>
      <c r="P987" s="6" t="s">
        <v>3684</v>
      </c>
      <c r="Q987" s="6">
        <v>4189.78</v>
      </c>
      <c r="R987" s="15">
        <v>9</v>
      </c>
      <c r="S987" s="20">
        <v>0.13</v>
      </c>
      <c r="T987" s="15">
        <v>-784.62</v>
      </c>
    </row>
    <row r="988" spans="1:20" x14ac:dyDescent="0.3">
      <c r="A988" s="7" t="s">
        <v>1006</v>
      </c>
      <c r="B988" s="13">
        <v>44181.750752314816</v>
      </c>
      <c r="C988" s="13">
        <v>44183.75075075074</v>
      </c>
      <c r="D988" s="8" t="s">
        <v>1022</v>
      </c>
      <c r="E988" s="8" t="s">
        <v>1957</v>
      </c>
      <c r="F988" s="8" t="s">
        <v>2405</v>
      </c>
      <c r="G988" s="8" t="s">
        <v>2406</v>
      </c>
      <c r="H988" s="8" t="s">
        <v>2409</v>
      </c>
      <c r="I988" s="8" t="s">
        <v>2412</v>
      </c>
      <c r="J988" s="16" t="s">
        <v>3896</v>
      </c>
      <c r="K988" s="16">
        <v>36884</v>
      </c>
      <c r="L988" s="8" t="s">
        <v>2420</v>
      </c>
      <c r="M988" s="8" t="s">
        <v>3360</v>
      </c>
      <c r="N988" s="8" t="s">
        <v>3371</v>
      </c>
      <c r="O988" s="8" t="s">
        <v>3375</v>
      </c>
      <c r="P988" s="8" t="s">
        <v>3504</v>
      </c>
      <c r="Q988" s="8">
        <v>2003.01</v>
      </c>
      <c r="R988" s="16">
        <v>7</v>
      </c>
      <c r="S988" s="21">
        <v>0.22</v>
      </c>
      <c r="T988" s="16">
        <v>-18.420000000000002</v>
      </c>
    </row>
    <row r="989" spans="1:20" x14ac:dyDescent="0.3">
      <c r="A989" s="5" t="s">
        <v>1007</v>
      </c>
      <c r="B989" s="12">
        <v>44182.846851851849</v>
      </c>
      <c r="C989" s="12">
        <v>44186.846846846842</v>
      </c>
      <c r="D989" s="6" t="s">
        <v>1022</v>
      </c>
      <c r="E989" s="6" t="s">
        <v>1958</v>
      </c>
      <c r="F989" s="6" t="s">
        <v>2213</v>
      </c>
      <c r="G989" s="6" t="s">
        <v>2408</v>
      </c>
      <c r="H989" s="6" t="s">
        <v>2409</v>
      </c>
      <c r="I989" s="6" t="s">
        <v>2418</v>
      </c>
      <c r="J989" s="15" t="s">
        <v>3898</v>
      </c>
      <c r="K989" s="15">
        <v>96390</v>
      </c>
      <c r="L989" s="6" t="s">
        <v>2419</v>
      </c>
      <c r="M989" s="6" t="s">
        <v>3250</v>
      </c>
      <c r="N989" s="6" t="s">
        <v>3372</v>
      </c>
      <c r="O989" s="6" t="s">
        <v>3378</v>
      </c>
      <c r="P989" s="6" t="s">
        <v>3580</v>
      </c>
      <c r="Q989" s="6">
        <v>4143.47</v>
      </c>
      <c r="R989" s="15">
        <v>10</v>
      </c>
      <c r="S989" s="20">
        <v>0.21</v>
      </c>
      <c r="T989" s="15">
        <v>-697.63</v>
      </c>
    </row>
    <row r="990" spans="1:20" x14ac:dyDescent="0.3">
      <c r="A990" s="7" t="s">
        <v>1008</v>
      </c>
      <c r="B990" s="13">
        <v>44183.942939814813</v>
      </c>
      <c r="C990" s="13">
        <v>44185.942942942936</v>
      </c>
      <c r="D990" s="8" t="s">
        <v>1020</v>
      </c>
      <c r="E990" s="8" t="s">
        <v>1959</v>
      </c>
      <c r="F990" s="8" t="s">
        <v>2205</v>
      </c>
      <c r="G990" s="8" t="s">
        <v>2407</v>
      </c>
      <c r="H990" s="8" t="s">
        <v>2409</v>
      </c>
      <c r="I990" s="8" t="s">
        <v>2414</v>
      </c>
      <c r="J990" s="16" t="s">
        <v>3896</v>
      </c>
      <c r="K990" s="16">
        <v>40684</v>
      </c>
      <c r="L990" s="8" t="s">
        <v>2422</v>
      </c>
      <c r="M990" s="8" t="s">
        <v>2986</v>
      </c>
      <c r="N990" s="8" t="s">
        <v>3373</v>
      </c>
      <c r="O990" s="8" t="s">
        <v>3380</v>
      </c>
      <c r="P990" s="8" t="s">
        <v>3865</v>
      </c>
      <c r="Q990" s="8">
        <v>2410.17</v>
      </c>
      <c r="R990" s="16">
        <v>13</v>
      </c>
      <c r="S990" s="21">
        <v>0.3</v>
      </c>
      <c r="T990" s="16">
        <v>16.04</v>
      </c>
    </row>
    <row r="991" spans="1:20" x14ac:dyDescent="0.3">
      <c r="A991" s="5" t="s">
        <v>1009</v>
      </c>
      <c r="B991" s="12">
        <v>44185.039039351854</v>
      </c>
      <c r="C991" s="12">
        <v>44191.039039039031</v>
      </c>
      <c r="D991" s="6" t="s">
        <v>1021</v>
      </c>
      <c r="E991" s="6" t="s">
        <v>1960</v>
      </c>
      <c r="F991" s="6" t="s">
        <v>2354</v>
      </c>
      <c r="G991" s="6" t="s">
        <v>2408</v>
      </c>
      <c r="H991" s="6" t="s">
        <v>2409</v>
      </c>
      <c r="I991" s="6" t="s">
        <v>2417</v>
      </c>
      <c r="J991" s="15" t="s">
        <v>3897</v>
      </c>
      <c r="K991" s="15">
        <v>78959</v>
      </c>
      <c r="L991" s="6" t="s">
        <v>2421</v>
      </c>
      <c r="M991" s="6" t="s">
        <v>3361</v>
      </c>
      <c r="N991" s="6" t="s">
        <v>3372</v>
      </c>
      <c r="O991" s="6" t="s">
        <v>3378</v>
      </c>
      <c r="P991" s="6" t="s">
        <v>3726</v>
      </c>
      <c r="Q991" s="6">
        <v>2707.01</v>
      </c>
      <c r="R991" s="15">
        <v>11</v>
      </c>
      <c r="S991" s="20">
        <v>0.77</v>
      </c>
      <c r="T991" s="15">
        <v>170.25</v>
      </c>
    </row>
    <row r="992" spans="1:20" x14ac:dyDescent="0.3">
      <c r="A992" s="7" t="s">
        <v>1010</v>
      </c>
      <c r="B992" s="13">
        <v>44186.135138888887</v>
      </c>
      <c r="C992" s="13">
        <v>44190.135135135133</v>
      </c>
      <c r="D992" s="8" t="s">
        <v>1021</v>
      </c>
      <c r="E992" s="8" t="s">
        <v>1961</v>
      </c>
      <c r="F992" s="8" t="s">
        <v>2132</v>
      </c>
      <c r="G992" s="8" t="s">
        <v>2408</v>
      </c>
      <c r="H992" s="8" t="s">
        <v>2409</v>
      </c>
      <c r="I992" s="8" t="s">
        <v>2413</v>
      </c>
      <c r="J992" s="16" t="s">
        <v>3892</v>
      </c>
      <c r="K992" s="16">
        <v>10691</v>
      </c>
      <c r="L992" s="8" t="s">
        <v>2420</v>
      </c>
      <c r="M992" s="8" t="s">
        <v>3362</v>
      </c>
      <c r="N992" s="8" t="s">
        <v>3371</v>
      </c>
      <c r="O992" s="8" t="s">
        <v>3383</v>
      </c>
      <c r="P992" s="8" t="s">
        <v>3598</v>
      </c>
      <c r="Q992" s="8">
        <v>1911.54</v>
      </c>
      <c r="R992" s="16">
        <v>11</v>
      </c>
      <c r="S992" s="21">
        <v>0.65</v>
      </c>
      <c r="T992" s="16">
        <v>826.69</v>
      </c>
    </row>
    <row r="993" spans="1:20" x14ac:dyDescent="0.3">
      <c r="A993" s="5" t="s">
        <v>1011</v>
      </c>
      <c r="B993" s="12">
        <v>44187.231226851851</v>
      </c>
      <c r="C993" s="12">
        <v>44188.231231231228</v>
      </c>
      <c r="D993" s="6" t="s">
        <v>1021</v>
      </c>
      <c r="E993" s="6" t="s">
        <v>1962</v>
      </c>
      <c r="F993" s="6" t="s">
        <v>2025</v>
      </c>
      <c r="G993" s="6" t="s">
        <v>2408</v>
      </c>
      <c r="H993" s="6" t="s">
        <v>2409</v>
      </c>
      <c r="I993" s="6" t="s">
        <v>2418</v>
      </c>
      <c r="J993" s="15" t="s">
        <v>3893</v>
      </c>
      <c r="K993" s="15">
        <v>30376</v>
      </c>
      <c r="L993" s="6" t="s">
        <v>2421</v>
      </c>
      <c r="M993" s="6" t="s">
        <v>3363</v>
      </c>
      <c r="N993" s="6" t="s">
        <v>3372</v>
      </c>
      <c r="O993" s="6" t="s">
        <v>3378</v>
      </c>
      <c r="P993" s="6" t="s">
        <v>3519</v>
      </c>
      <c r="Q993" s="6">
        <v>4178.01</v>
      </c>
      <c r="R993" s="15">
        <v>2</v>
      </c>
      <c r="S993" s="20">
        <v>0.65</v>
      </c>
      <c r="T993" s="15">
        <v>1644.72</v>
      </c>
    </row>
    <row r="994" spans="1:20" x14ac:dyDescent="0.3">
      <c r="A994" s="7" t="s">
        <v>1012</v>
      </c>
      <c r="B994" s="13">
        <v>44188.327326388891</v>
      </c>
      <c r="C994" s="13">
        <v>44191.32732732733</v>
      </c>
      <c r="D994" s="8" t="s">
        <v>1022</v>
      </c>
      <c r="E994" s="8" t="s">
        <v>1963</v>
      </c>
      <c r="F994" s="8" t="s">
        <v>2208</v>
      </c>
      <c r="G994" s="8" t="s">
        <v>2407</v>
      </c>
      <c r="H994" s="8" t="s">
        <v>2409</v>
      </c>
      <c r="I994" s="8" t="s">
        <v>2416</v>
      </c>
      <c r="J994" s="16" t="s">
        <v>3891</v>
      </c>
      <c r="K994" s="16">
        <v>59868</v>
      </c>
      <c r="L994" s="8" t="s">
        <v>2421</v>
      </c>
      <c r="M994" s="8" t="s">
        <v>3364</v>
      </c>
      <c r="N994" s="8" t="s">
        <v>3372</v>
      </c>
      <c r="O994" s="8" t="s">
        <v>3377</v>
      </c>
      <c r="P994" s="8" t="s">
        <v>3751</v>
      </c>
      <c r="Q994" s="8">
        <v>1839.74</v>
      </c>
      <c r="R994" s="16">
        <v>10</v>
      </c>
      <c r="S994" s="21">
        <v>7.0000000000000007E-2</v>
      </c>
      <c r="T994" s="16">
        <v>-227.71</v>
      </c>
    </row>
    <row r="995" spans="1:20" x14ac:dyDescent="0.3">
      <c r="A995" s="5" t="s">
        <v>1013</v>
      </c>
      <c r="B995" s="12">
        <v>44189.423425925925</v>
      </c>
      <c r="C995" s="12">
        <v>44194.423423423417</v>
      </c>
      <c r="D995" s="6" t="s">
        <v>1020</v>
      </c>
      <c r="E995" s="6" t="s">
        <v>1964</v>
      </c>
      <c r="F995" s="6" t="s">
        <v>2225</v>
      </c>
      <c r="G995" s="6" t="s">
        <v>2408</v>
      </c>
      <c r="H995" s="6" t="s">
        <v>2409</v>
      </c>
      <c r="I995" s="6" t="s">
        <v>2410</v>
      </c>
      <c r="J995" s="15" t="s">
        <v>3897</v>
      </c>
      <c r="K995" s="15">
        <v>46344</v>
      </c>
      <c r="L995" s="6" t="s">
        <v>2421</v>
      </c>
      <c r="M995" s="6" t="s">
        <v>3365</v>
      </c>
      <c r="N995" s="6" t="s">
        <v>3373</v>
      </c>
      <c r="O995" s="6" t="s">
        <v>3379</v>
      </c>
      <c r="P995" s="6" t="s">
        <v>3472</v>
      </c>
      <c r="Q995" s="6">
        <v>2912.11</v>
      </c>
      <c r="R995" s="15">
        <v>6</v>
      </c>
      <c r="S995" s="20">
        <v>0.35</v>
      </c>
      <c r="T995" s="15">
        <v>588.58000000000004</v>
      </c>
    </row>
    <row r="996" spans="1:20" x14ac:dyDescent="0.3">
      <c r="A996" s="7" t="s">
        <v>1014</v>
      </c>
      <c r="B996" s="13">
        <v>44190.519513888888</v>
      </c>
      <c r="C996" s="13">
        <v>44191.519519519512</v>
      </c>
      <c r="D996" s="8" t="s">
        <v>1023</v>
      </c>
      <c r="E996" s="8" t="s">
        <v>1965</v>
      </c>
      <c r="F996" s="8" t="s">
        <v>2107</v>
      </c>
      <c r="G996" s="8" t="s">
        <v>2408</v>
      </c>
      <c r="H996" s="8" t="s">
        <v>2409</v>
      </c>
      <c r="I996" s="8" t="s">
        <v>2410</v>
      </c>
      <c r="J996" s="16" t="s">
        <v>3891</v>
      </c>
      <c r="K996" s="16">
        <v>93017</v>
      </c>
      <c r="L996" s="8" t="s">
        <v>2421</v>
      </c>
      <c r="M996" s="8" t="s">
        <v>3366</v>
      </c>
      <c r="N996" s="8" t="s">
        <v>3373</v>
      </c>
      <c r="O996" s="8" t="s">
        <v>3380</v>
      </c>
      <c r="P996" s="8" t="s">
        <v>3417</v>
      </c>
      <c r="Q996" s="8">
        <v>2475.58</v>
      </c>
      <c r="R996" s="16">
        <v>7</v>
      </c>
      <c r="S996" s="21">
        <v>0.23</v>
      </c>
      <c r="T996" s="16">
        <v>268.98</v>
      </c>
    </row>
    <row r="997" spans="1:20" x14ac:dyDescent="0.3">
      <c r="A997" s="5" t="s">
        <v>1015</v>
      </c>
      <c r="B997" s="12">
        <v>44191.615613425929</v>
      </c>
      <c r="C997" s="12">
        <v>44193.615615615607</v>
      </c>
      <c r="D997" s="6" t="s">
        <v>1022</v>
      </c>
      <c r="E997" s="6" t="s">
        <v>1326</v>
      </c>
      <c r="F997" s="6" t="s">
        <v>2157</v>
      </c>
      <c r="G997" s="6" t="s">
        <v>2407</v>
      </c>
      <c r="H997" s="6" t="s">
        <v>2409</v>
      </c>
      <c r="I997" s="6" t="s">
        <v>2418</v>
      </c>
      <c r="J997" s="15" t="s">
        <v>3893</v>
      </c>
      <c r="K997" s="15">
        <v>65637</v>
      </c>
      <c r="L997" s="6" t="s">
        <v>2421</v>
      </c>
      <c r="M997" s="6" t="s">
        <v>2466</v>
      </c>
      <c r="N997" s="6" t="s">
        <v>3373</v>
      </c>
      <c r="O997" s="6" t="s">
        <v>3380</v>
      </c>
      <c r="P997" s="6" t="s">
        <v>3822</v>
      </c>
      <c r="Q997" s="6">
        <v>3102.78</v>
      </c>
      <c r="R997" s="15">
        <v>8</v>
      </c>
      <c r="S997" s="20">
        <v>0.09</v>
      </c>
      <c r="T997" s="15">
        <v>1297.18</v>
      </c>
    </row>
    <row r="998" spans="1:20" x14ac:dyDescent="0.3">
      <c r="A998" s="7" t="s">
        <v>1016</v>
      </c>
      <c r="B998" s="13">
        <v>44192.711712962962</v>
      </c>
      <c r="C998" s="13">
        <v>44193.711711711701</v>
      </c>
      <c r="D998" s="8" t="s">
        <v>1021</v>
      </c>
      <c r="E998" s="8" t="s">
        <v>1856</v>
      </c>
      <c r="F998" s="8" t="s">
        <v>2194</v>
      </c>
      <c r="G998" s="8" t="s">
        <v>2406</v>
      </c>
      <c r="H998" s="8" t="s">
        <v>2409</v>
      </c>
      <c r="I998" s="8" t="s">
        <v>2412</v>
      </c>
      <c r="J998" s="16" t="s">
        <v>2410</v>
      </c>
      <c r="K998" s="16">
        <v>88456</v>
      </c>
      <c r="L998" s="8" t="s">
        <v>2422</v>
      </c>
      <c r="M998" s="8" t="s">
        <v>3367</v>
      </c>
      <c r="N998" s="8" t="s">
        <v>3371</v>
      </c>
      <c r="O998" s="8" t="s">
        <v>3374</v>
      </c>
      <c r="P998" s="8" t="s">
        <v>3455</v>
      </c>
      <c r="Q998" s="8">
        <v>643.57000000000005</v>
      </c>
      <c r="R998" s="16">
        <v>7</v>
      </c>
      <c r="S998" s="21">
        <v>0.57999999999999996</v>
      </c>
      <c r="T998" s="16">
        <v>298.45999999999998</v>
      </c>
    </row>
    <row r="999" spans="1:20" x14ac:dyDescent="0.3">
      <c r="A999" s="5" t="s">
        <v>1017</v>
      </c>
      <c r="B999" s="12">
        <v>44193.807812500003</v>
      </c>
      <c r="C999" s="12">
        <v>44198.807807807803</v>
      </c>
      <c r="D999" s="6" t="s">
        <v>1023</v>
      </c>
      <c r="E999" s="6" t="s">
        <v>1966</v>
      </c>
      <c r="F999" s="6" t="s">
        <v>2366</v>
      </c>
      <c r="G999" s="6" t="s">
        <v>2407</v>
      </c>
      <c r="H999" s="6" t="s">
        <v>2409</v>
      </c>
      <c r="I999" s="6" t="s">
        <v>2416</v>
      </c>
      <c r="J999" s="15" t="s">
        <v>3893</v>
      </c>
      <c r="K999" s="15">
        <v>90461</v>
      </c>
      <c r="L999" s="6" t="s">
        <v>2421</v>
      </c>
      <c r="M999" s="6" t="s">
        <v>3368</v>
      </c>
      <c r="N999" s="6" t="s">
        <v>3371</v>
      </c>
      <c r="O999" s="6" t="s">
        <v>3382</v>
      </c>
      <c r="P999" s="6" t="s">
        <v>3712</v>
      </c>
      <c r="Q999" s="6">
        <v>4991.4399999999996</v>
      </c>
      <c r="R999" s="15">
        <v>2</v>
      </c>
      <c r="S999" s="20">
        <v>0.25</v>
      </c>
      <c r="T999" s="15">
        <v>819.09</v>
      </c>
    </row>
    <row r="1000" spans="1:20" x14ac:dyDescent="0.3">
      <c r="A1000" s="7" t="s">
        <v>1018</v>
      </c>
      <c r="B1000" s="13">
        <v>44194.903900462959</v>
      </c>
      <c r="C1000" s="13">
        <v>44195.903903903898</v>
      </c>
      <c r="D1000" s="8" t="s">
        <v>1022</v>
      </c>
      <c r="E1000" s="8" t="s">
        <v>1967</v>
      </c>
      <c r="F1000" s="8" t="s">
        <v>2055</v>
      </c>
      <c r="G1000" s="8" t="s">
        <v>2407</v>
      </c>
      <c r="H1000" s="8" t="s">
        <v>2409</v>
      </c>
      <c r="I1000" s="8" t="s">
        <v>2418</v>
      </c>
      <c r="J1000" s="16" t="s">
        <v>3892</v>
      </c>
      <c r="K1000" s="16">
        <v>21297</v>
      </c>
      <c r="L1000" s="8" t="s">
        <v>2420</v>
      </c>
      <c r="M1000" s="8" t="s">
        <v>3369</v>
      </c>
      <c r="N1000" s="8" t="s">
        <v>3371</v>
      </c>
      <c r="O1000" s="8" t="s">
        <v>3375</v>
      </c>
      <c r="P1000" s="8" t="s">
        <v>3464</v>
      </c>
      <c r="Q1000" s="8">
        <v>3323.77</v>
      </c>
      <c r="R1000" s="16">
        <v>14</v>
      </c>
      <c r="S1000" s="21">
        <v>0.43</v>
      </c>
      <c r="T1000" s="16">
        <v>670.47</v>
      </c>
    </row>
    <row r="1001" spans="1:20" x14ac:dyDescent="0.3">
      <c r="A1001" s="5" t="s">
        <v>1019</v>
      </c>
      <c r="B1001" s="12">
        <v>44196</v>
      </c>
      <c r="C1001" s="13">
        <v>44202</v>
      </c>
      <c r="D1001" s="6" t="s">
        <v>1023</v>
      </c>
      <c r="E1001" s="6" t="s">
        <v>1231</v>
      </c>
      <c r="F1001" s="6" t="s">
        <v>2256</v>
      </c>
      <c r="G1001" s="6" t="s">
        <v>2407</v>
      </c>
      <c r="H1001" s="6" t="s">
        <v>2409</v>
      </c>
      <c r="I1001" s="6" t="s">
        <v>2411</v>
      </c>
      <c r="J1001" s="15" t="s">
        <v>3895</v>
      </c>
      <c r="K1001" s="15">
        <v>88477</v>
      </c>
      <c r="L1001" s="6" t="s">
        <v>2419</v>
      </c>
      <c r="M1001" s="6" t="s">
        <v>3370</v>
      </c>
      <c r="N1001" s="6" t="s">
        <v>3372</v>
      </c>
      <c r="O1001" s="6" t="s">
        <v>3377</v>
      </c>
      <c r="P1001" s="6" t="s">
        <v>3689</v>
      </c>
      <c r="Q1001" s="6">
        <v>2070.13</v>
      </c>
      <c r="R1001" s="15">
        <v>14</v>
      </c>
      <c r="S1001" s="20">
        <v>0.35</v>
      </c>
      <c r="T1001" s="15">
        <v>816.49</v>
      </c>
    </row>
  </sheetData>
  <phoneticPr fontId="4" type="noConversion"/>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8E5CC-FA2C-4211-BBCF-05F3345252F4}">
  <sheetPr codeName="Sheet2"/>
  <dimension ref="A1:AC19"/>
  <sheetViews>
    <sheetView workbookViewId="0">
      <selection activeCell="Z3" sqref="Z3:AB11"/>
    </sheetView>
  </sheetViews>
  <sheetFormatPr defaultRowHeight="14" x14ac:dyDescent="0.3"/>
  <cols>
    <col min="1" max="1" width="11.75" bestFit="1" customWidth="1"/>
    <col min="2" max="2" width="10.75" bestFit="1" customWidth="1"/>
    <col min="3" max="3" width="13.5" bestFit="1" customWidth="1"/>
    <col min="4" max="4" width="11.9140625" bestFit="1" customWidth="1"/>
    <col min="5" max="5" width="10.75" bestFit="1" customWidth="1"/>
    <col min="6" max="6" width="13.08203125" bestFit="1" customWidth="1"/>
    <col min="7" max="7" width="11.75" bestFit="1" customWidth="1"/>
    <col min="8" max="8" width="10.75" bestFit="1" customWidth="1"/>
    <col min="10" max="10" width="11.75" bestFit="1" customWidth="1"/>
    <col min="11" max="11" width="10.75" bestFit="1" customWidth="1"/>
    <col min="13" max="13" width="11.75" bestFit="1" customWidth="1"/>
    <col min="14" max="14" width="10.58203125" bestFit="1" customWidth="1"/>
    <col min="15" max="15" width="17.6640625" bestFit="1" customWidth="1"/>
    <col min="16" max="16" width="11.75" bestFit="1" customWidth="1"/>
    <col min="17" max="17" width="14.58203125" bestFit="1" customWidth="1"/>
    <col min="18" max="18" width="10.58203125" bestFit="1" customWidth="1"/>
    <col min="19" max="19" width="13.5" customWidth="1"/>
    <col min="20" max="20" width="11.75" bestFit="1" customWidth="1"/>
    <col min="21" max="22" width="10.75" bestFit="1" customWidth="1"/>
    <col min="23" max="24" width="9.75" bestFit="1" customWidth="1"/>
    <col min="25" max="25" width="10.08203125" bestFit="1" customWidth="1"/>
    <col min="26" max="29" width="9.75" bestFit="1" customWidth="1"/>
  </cols>
  <sheetData>
    <row r="1" spans="1:29" x14ac:dyDescent="0.3">
      <c r="J1" t="s">
        <v>3886</v>
      </c>
    </row>
    <row r="2" spans="1:29" x14ac:dyDescent="0.3">
      <c r="J2" s="25" t="s">
        <v>3888</v>
      </c>
      <c r="K2" s="25" t="s">
        <v>19</v>
      </c>
      <c r="L2" s="25" t="s">
        <v>17</v>
      </c>
      <c r="M2" s="25" t="s">
        <v>3887</v>
      </c>
      <c r="N2" s="25" t="s">
        <v>3889</v>
      </c>
      <c r="O2" s="25" t="s">
        <v>3890</v>
      </c>
      <c r="P2" s="25"/>
    </row>
    <row r="3" spans="1:29" x14ac:dyDescent="0.3">
      <c r="A3" t="s">
        <v>3866</v>
      </c>
      <c r="B3" t="s">
        <v>3867</v>
      </c>
      <c r="C3" t="s">
        <v>3868</v>
      </c>
      <c r="D3" t="s">
        <v>3869</v>
      </c>
      <c r="F3" t="s">
        <v>3871</v>
      </c>
      <c r="G3" t="s">
        <v>3870</v>
      </c>
      <c r="J3" s="40">
        <f>GETPIVOTDATA("Sum of Sales",$A$3)</f>
        <v>2485868.1300000013</v>
      </c>
      <c r="K3" s="40">
        <f>GETPIVOTDATA("Sum of Profit",$A$3)</f>
        <v>476677.80000000034</v>
      </c>
      <c r="L3" s="26">
        <f>GETPIVOTDATA("Sum of Quantity",$A$3)</f>
        <v>7827</v>
      </c>
      <c r="M3" s="26">
        <f>GETPIVOTDATA("Count of Order ID",$A$3)</f>
        <v>1000</v>
      </c>
      <c r="N3" s="27">
        <f>GETPIVOTDATA("Sum of Profit %",$F$3)</f>
        <v>0.19175506304914094</v>
      </c>
      <c r="O3" s="27">
        <f>GETPIVOTDATA("Average of Discount",$F$3)</f>
        <v>0.45459999999999967</v>
      </c>
      <c r="W3" s="38"/>
      <c r="X3" s="38"/>
      <c r="Z3" s="23"/>
      <c r="AC3" s="37"/>
    </row>
    <row r="4" spans="1:29" x14ac:dyDescent="0.3">
      <c r="A4" s="41">
        <v>2485868.1300000013</v>
      </c>
      <c r="B4" s="41">
        <v>476677.80000000034</v>
      </c>
      <c r="C4" s="41">
        <v>7827</v>
      </c>
      <c r="D4" s="41">
        <v>1000</v>
      </c>
      <c r="F4" s="17">
        <v>0.19175506304914094</v>
      </c>
      <c r="G4" s="17">
        <v>0.45459999999999967</v>
      </c>
      <c r="W4" s="39"/>
      <c r="X4" s="39"/>
      <c r="Z4" s="23"/>
    </row>
    <row r="5" spans="1:29" x14ac:dyDescent="0.3">
      <c r="W5" s="39"/>
      <c r="X5" s="39"/>
      <c r="Z5" s="23"/>
    </row>
    <row r="6" spans="1:29" x14ac:dyDescent="0.3">
      <c r="A6" s="22" t="s">
        <v>3872</v>
      </c>
      <c r="B6" t="s">
        <v>3866</v>
      </c>
      <c r="D6" s="22" t="s">
        <v>3872</v>
      </c>
      <c r="E6" t="s">
        <v>3866</v>
      </c>
      <c r="G6" s="22" t="s">
        <v>3872</v>
      </c>
      <c r="H6" t="s">
        <v>3867</v>
      </c>
      <c r="J6" s="22" t="s">
        <v>3872</v>
      </c>
      <c r="K6" t="s">
        <v>3866</v>
      </c>
      <c r="M6" s="22" t="s">
        <v>3872</v>
      </c>
      <c r="N6" t="s">
        <v>3866</v>
      </c>
      <c r="P6" s="22" t="s">
        <v>3872</v>
      </c>
      <c r="Q6" t="s">
        <v>3869</v>
      </c>
      <c r="R6" s="17" t="s">
        <v>3866</v>
      </c>
      <c r="W6" s="39"/>
      <c r="X6" s="39"/>
      <c r="Z6" s="23"/>
    </row>
    <row r="7" spans="1:29" x14ac:dyDescent="0.3">
      <c r="A7" s="23" t="s">
        <v>3874</v>
      </c>
      <c r="B7" s="41">
        <v>217503.65</v>
      </c>
      <c r="D7" s="23" t="s">
        <v>3371</v>
      </c>
      <c r="E7" s="41">
        <v>797729.82999999961</v>
      </c>
      <c r="G7" s="23" t="s">
        <v>3384</v>
      </c>
      <c r="H7" s="41">
        <v>55634.069999999985</v>
      </c>
      <c r="J7" s="23" t="s">
        <v>2419</v>
      </c>
      <c r="K7" s="41">
        <v>637053.24000000011</v>
      </c>
      <c r="M7" s="23" t="s">
        <v>3421</v>
      </c>
      <c r="N7" s="24">
        <v>19052.260000000002</v>
      </c>
      <c r="P7" s="23" t="s">
        <v>1020</v>
      </c>
      <c r="Q7" s="17">
        <v>0.22</v>
      </c>
      <c r="R7" s="17">
        <v>0.21124199375773006</v>
      </c>
      <c r="W7" s="39"/>
      <c r="X7" s="39"/>
      <c r="Z7" s="23"/>
    </row>
    <row r="8" spans="1:29" x14ac:dyDescent="0.3">
      <c r="A8" s="23" t="s">
        <v>3875</v>
      </c>
      <c r="B8" s="41">
        <v>199150.72999999998</v>
      </c>
      <c r="D8" s="23" t="s">
        <v>3373</v>
      </c>
      <c r="E8" s="41">
        <v>797757.2900000005</v>
      </c>
      <c r="G8" s="23" t="s">
        <v>3376</v>
      </c>
      <c r="H8" s="41">
        <v>55580.569999999971</v>
      </c>
      <c r="J8" s="23" t="s">
        <v>2420</v>
      </c>
      <c r="K8" s="41">
        <v>660268.13</v>
      </c>
      <c r="M8" s="23" t="s">
        <v>3739</v>
      </c>
      <c r="N8" s="24">
        <v>17859.829999999998</v>
      </c>
      <c r="P8" s="23" t="s">
        <v>1021</v>
      </c>
      <c r="Q8" s="17">
        <v>0.25700000000000001</v>
      </c>
      <c r="R8" s="17">
        <v>0.2607031170233477</v>
      </c>
      <c r="W8" s="39"/>
      <c r="X8" s="39"/>
      <c r="Z8" s="23"/>
    </row>
    <row r="9" spans="1:29" x14ac:dyDescent="0.3">
      <c r="A9" s="23" t="s">
        <v>3876</v>
      </c>
      <c r="B9" s="41">
        <v>230005.28000000012</v>
      </c>
      <c r="D9" s="23" t="s">
        <v>3372</v>
      </c>
      <c r="E9" s="41">
        <v>890381.01000000013</v>
      </c>
      <c r="G9" s="23" t="s">
        <v>3379</v>
      </c>
      <c r="H9" s="41">
        <v>42246.920000000006</v>
      </c>
      <c r="J9" s="23" t="s">
        <v>2421</v>
      </c>
      <c r="K9" s="41">
        <v>662547.25000000058</v>
      </c>
      <c r="M9" s="23" t="s">
        <v>3446</v>
      </c>
      <c r="N9" s="24">
        <v>17124.7</v>
      </c>
      <c r="P9" s="23" t="s">
        <v>1023</v>
      </c>
      <c r="Q9" s="17">
        <v>0.26400000000000001</v>
      </c>
      <c r="R9" s="17">
        <v>0.27114388807100581</v>
      </c>
      <c r="W9" s="39"/>
      <c r="X9" s="39"/>
      <c r="Z9" s="23"/>
    </row>
    <row r="10" spans="1:29" x14ac:dyDescent="0.3">
      <c r="A10" s="23" t="s">
        <v>3877</v>
      </c>
      <c r="B10" s="41">
        <v>179290.24000000011</v>
      </c>
      <c r="D10" s="23" t="s">
        <v>3873</v>
      </c>
      <c r="E10" s="41">
        <v>2485868.1300000004</v>
      </c>
      <c r="G10" s="23" t="s">
        <v>3374</v>
      </c>
      <c r="H10" s="41">
        <v>41925.539999999979</v>
      </c>
      <c r="J10" s="23" t="s">
        <v>2422</v>
      </c>
      <c r="K10" s="41">
        <v>525999.50999999989</v>
      </c>
      <c r="M10" s="23" t="s">
        <v>3519</v>
      </c>
      <c r="N10" s="24">
        <v>16938.120000000003</v>
      </c>
      <c r="P10" s="23" t="s">
        <v>1022</v>
      </c>
      <c r="Q10" s="17">
        <v>0.25900000000000001</v>
      </c>
      <c r="R10" s="17">
        <v>0.25691100114791726</v>
      </c>
      <c r="W10" s="39"/>
      <c r="X10" s="39"/>
      <c r="Z10" s="23"/>
    </row>
    <row r="11" spans="1:29" x14ac:dyDescent="0.3">
      <c r="A11" s="23" t="s">
        <v>3878</v>
      </c>
      <c r="B11" s="41">
        <v>195077.62999999992</v>
      </c>
      <c r="G11" s="23" t="s">
        <v>3382</v>
      </c>
      <c r="H11" s="41">
        <v>41300.569999999985</v>
      </c>
      <c r="J11" s="23" t="s">
        <v>3873</v>
      </c>
      <c r="K11" s="41">
        <v>2485868.1300000004</v>
      </c>
      <c r="M11" s="23" t="s">
        <v>3413</v>
      </c>
      <c r="N11" s="24">
        <v>14630.140000000001</v>
      </c>
      <c r="P11" s="23" t="s">
        <v>3873</v>
      </c>
      <c r="Q11" s="17">
        <v>1</v>
      </c>
      <c r="R11" s="17">
        <v>1</v>
      </c>
      <c r="W11" s="39"/>
      <c r="X11" s="39"/>
      <c r="Z11" s="23"/>
    </row>
    <row r="12" spans="1:29" x14ac:dyDescent="0.3">
      <c r="A12" s="23" t="s">
        <v>3879</v>
      </c>
      <c r="B12" s="41">
        <v>203285.95</v>
      </c>
      <c r="G12" s="23" t="s">
        <v>3375</v>
      </c>
      <c r="H12" s="41">
        <v>39032.540000000015</v>
      </c>
      <c r="M12" s="23" t="s">
        <v>3727</v>
      </c>
      <c r="N12" s="24">
        <v>14151.099999999999</v>
      </c>
      <c r="W12" s="39"/>
      <c r="X12" s="39"/>
    </row>
    <row r="13" spans="1:29" x14ac:dyDescent="0.3">
      <c r="A13" s="23" t="s">
        <v>3880</v>
      </c>
      <c r="B13" s="41">
        <v>215857.19000000003</v>
      </c>
      <c r="G13" s="23" t="s">
        <v>3385</v>
      </c>
      <c r="H13" s="41">
        <v>37468.080000000016</v>
      </c>
      <c r="M13" s="23" t="s">
        <v>3431</v>
      </c>
      <c r="N13" s="24">
        <v>14087.95</v>
      </c>
    </row>
    <row r="14" spans="1:29" x14ac:dyDescent="0.3">
      <c r="A14" s="23" t="s">
        <v>3881</v>
      </c>
      <c r="B14" s="41">
        <v>214635.61</v>
      </c>
      <c r="G14" s="23" t="s">
        <v>3383</v>
      </c>
      <c r="H14" s="41">
        <v>35924.92</v>
      </c>
      <c r="M14" s="23" t="s">
        <v>3515</v>
      </c>
      <c r="N14" s="24">
        <v>14059.580000000002</v>
      </c>
    </row>
    <row r="15" spans="1:29" x14ac:dyDescent="0.3">
      <c r="A15" s="23" t="s">
        <v>3882</v>
      </c>
      <c r="B15" s="41">
        <v>196953.02</v>
      </c>
      <c r="G15" s="23" t="s">
        <v>3377</v>
      </c>
      <c r="H15" s="41">
        <v>35880.629999999997</v>
      </c>
      <c r="M15" s="23" t="s">
        <v>3712</v>
      </c>
      <c r="N15" s="24">
        <v>13309.809999999998</v>
      </c>
    </row>
    <row r="16" spans="1:29" x14ac:dyDescent="0.3">
      <c r="A16" s="23" t="s">
        <v>3883</v>
      </c>
      <c r="B16" s="41">
        <v>222550.34000000008</v>
      </c>
      <c r="G16" s="23" t="s">
        <v>3380</v>
      </c>
      <c r="H16" s="41">
        <v>32179.429999999993</v>
      </c>
      <c r="M16" s="23" t="s">
        <v>3391</v>
      </c>
      <c r="N16" s="24">
        <v>13137.059999999998</v>
      </c>
    </row>
    <row r="17" spans="1:14" x14ac:dyDescent="0.3">
      <c r="A17" s="23" t="s">
        <v>3884</v>
      </c>
      <c r="B17" s="41">
        <v>186741.72000000003</v>
      </c>
      <c r="G17" s="23" t="s">
        <v>3378</v>
      </c>
      <c r="H17" s="41">
        <v>31249.870000000006</v>
      </c>
      <c r="M17" s="23" t="s">
        <v>3873</v>
      </c>
      <c r="N17" s="41">
        <v>154350.55000000002</v>
      </c>
    </row>
    <row r="18" spans="1:14" x14ac:dyDescent="0.3">
      <c r="A18" s="23" t="s">
        <v>3885</v>
      </c>
      <c r="B18" s="41">
        <v>224816.77000000011</v>
      </c>
      <c r="G18" s="23" t="s">
        <v>3381</v>
      </c>
      <c r="H18" s="41">
        <v>28254.660000000003</v>
      </c>
    </row>
    <row r="19" spans="1:14" x14ac:dyDescent="0.3">
      <c r="A19" s="23" t="s">
        <v>3873</v>
      </c>
      <c r="B19" s="41">
        <v>2485868.1300000004</v>
      </c>
      <c r="G19" s="23" t="s">
        <v>3873</v>
      </c>
      <c r="H19" s="41">
        <v>476677.79999999993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73EAD-30B0-4386-A80E-76A9E35F9D37}">
  <dimension ref="A1"/>
  <sheetViews>
    <sheetView showGridLines="0" tabSelected="1" zoomScaleNormal="100" workbookViewId="0">
      <selection activeCell="K27" sqref="K27"/>
    </sheetView>
  </sheetViews>
  <sheetFormatPr defaultRowHeight="1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Pivots</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kumar reddy punnati</dc:creator>
  <cp:lastModifiedBy>sunil kumar reddy punnati</cp:lastModifiedBy>
  <cp:lastPrinted>2025-12-06T13:26:30Z</cp:lastPrinted>
  <dcterms:created xsi:type="dcterms:W3CDTF">2025-11-24T12:40:29Z</dcterms:created>
  <dcterms:modified xsi:type="dcterms:W3CDTF">2025-12-06T14:06:43Z</dcterms:modified>
</cp:coreProperties>
</file>